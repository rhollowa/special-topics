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holl\Downloads\"/>
    </mc:Choice>
  </mc:AlternateContent>
  <xr:revisionPtr revIDLastSave="0" documentId="13_ncr:1_{38299035-749A-4EEC-9E3D-858684E76C48}" xr6:coauthVersionLast="47" xr6:coauthVersionMax="47" xr10:uidLastSave="{00000000-0000-0000-0000-000000000000}"/>
  <bookViews>
    <workbookView xWindow="-38520" yWindow="-120" windowWidth="38640" windowHeight="21840" xr2:uid="{86CF8DCD-D8AB-4717-BCE6-B8578E0C13DE}"/>
  </bookViews>
  <sheets>
    <sheet name="Start Here" sheetId="2" r:id="rId1"/>
    <sheet name="Ad Spend v. Revenue" sheetId="1" r:id="rId2"/>
    <sheet name="Employment v. Sales" sheetId="4" r:id="rId3"/>
    <sheet name="Real Estate" sheetId="3" r:id="rId4"/>
    <sheet name="End here" sheetId="5" r:id="rId5"/>
  </sheets>
  <definedNames>
    <definedName name="_xlnm._FilterDatabase" localSheetId="2" hidden="1">'Employment v. Sales'!$B$9:$D$205</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1" l="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5" i="1" s="1"/>
  <c r="B46" i="1" s="1"/>
  <c r="B47" i="1" s="1"/>
  <c r="B48" i="1" s="1"/>
  <c r="B49" i="1" s="1"/>
  <c r="B50" i="1" s="1"/>
  <c r="B51" i="1" s="1"/>
  <c r="B52" i="1" s="1"/>
  <c r="B53" i="1" s="1"/>
  <c r="B54" i="1" s="1"/>
  <c r="B55" i="1" s="1"/>
  <c r="B56" i="1" s="1"/>
</calcChain>
</file>

<file path=xl/sharedStrings.xml><?xml version="1.0" encoding="utf-8"?>
<sst xmlns="http://schemas.openxmlformats.org/spreadsheetml/2006/main" count="84" uniqueCount="78">
  <si>
    <t>Month</t>
  </si>
  <si>
    <t>Ad Spend ($)</t>
  </si>
  <si>
    <t>Revenue ($)</t>
  </si>
  <si>
    <t>Answers:</t>
  </si>
  <si>
    <t>Questions:</t>
  </si>
  <si>
    <t>Sources: U.S. Bureau of Labor Statistics — Unemployment Rate (UNRATE), FRED  ·  U.S. Census Bureau — Advance Retail Sales (RSXFS), FRED</t>
  </si>
  <si>
    <t>Retail Sales ($B)</t>
  </si>
  <si>
    <t>Unemployment Rate (%)</t>
  </si>
  <si>
    <t>Instructions:</t>
  </si>
  <si>
    <t>What is the correlation coefficient of this data?</t>
  </si>
  <si>
    <t>What is the β of  the regression equation?</t>
  </si>
  <si>
    <t>What is the α of the regression line?</t>
  </si>
  <si>
    <t>Explain any gap(s) in the FRED data. If there is anything missing, offer an explanation for why that is.</t>
  </si>
  <si>
    <t>What is the independent variable?</t>
  </si>
  <si>
    <t>What is the dependent variable?</t>
  </si>
  <si>
    <t>What is your prediction for retail sales if the unemployment rate were to hit 3% (in $B)?</t>
  </si>
  <si>
    <t>What is your prediction for retail sales if the unemployment rate were to hit 2% (in $B)?</t>
  </si>
  <si>
    <r>
      <t>What is the R</t>
    </r>
    <r>
      <rPr>
        <vertAlign val="superscript"/>
        <sz val="11"/>
        <color theme="1"/>
        <rFont val="Aptos Narrow"/>
        <family val="2"/>
      </rPr>
      <t>2</t>
    </r>
    <r>
      <rPr>
        <sz val="11"/>
        <color theme="1"/>
        <rFont val="Aptos Narrow"/>
        <family val="2"/>
        <scheme val="minor"/>
      </rPr>
      <t xml:space="preserve"> of the data?</t>
    </r>
  </si>
  <si>
    <t>What was the revenue generated in these years?</t>
  </si>
  <si>
    <t>vvv- drop answers in here, use formulas please, no hardcoding -vvv</t>
  </si>
  <si>
    <t>What could you say about the correlation of these two metrics?</t>
  </si>
  <si>
    <t>&lt;&lt;&lt; Value</t>
  </si>
  <si>
    <t>&lt;&lt;&lt; What that value means</t>
  </si>
  <si>
    <t>What was the YoY growth in revenue during this time period?</t>
  </si>
  <si>
    <t>To what extent can increases/decreases in revenue be explained by changes in the ad spend?</t>
  </si>
  <si>
    <t>&lt;&lt;&lt; give answer in % please</t>
  </si>
  <si>
    <t>&lt;&lt;&lt; β</t>
  </si>
  <si>
    <t>If you increased the Ad spend by $1, how much could you expect revenue to increase by?</t>
  </si>
  <si>
    <t>If nothing was spent on Ads at all- $0 - how much revenue would you expect to bring in?</t>
  </si>
  <si>
    <t>&lt;&lt;&lt; α</t>
  </si>
  <si>
    <t>For 2026, the Ad Spend amount will be the 2025 amount with the YoY growth rate applied to it.</t>
  </si>
  <si>
    <t>The remaining 40% will be spent evenly across the rest of the months of the year.</t>
  </si>
  <si>
    <t>What would the ad spend have to be to get to a revenue of $1mm?</t>
  </si>
  <si>
    <t>You're interested in finding to what extent reducing unemployment stimulates the economy. Since 2/3 of the US economy relies on consumer spending, you want to see how much more is generated in retail sales in various employment scenarios</t>
  </si>
  <si>
    <t>Use data from FRED or BLS to populate the chart below and answer the questions using what you know about data collection and regression analysis.</t>
  </si>
  <si>
    <t>Download the unemployment rate (unrate) and the advance retail sales (rsxfs) from the FRED (or BLS) website.</t>
  </si>
  <si>
    <t>Clean the data (normalize the numbers so the right values show for the right dates) to match up with the dates in column B.</t>
  </si>
  <si>
    <r>
      <t>Create a scatter plot of the data you collected. Include the trendline, trendline, trendline equation and the R</t>
    </r>
    <r>
      <rPr>
        <vertAlign val="superscript"/>
        <sz val="11"/>
        <color theme="1"/>
        <rFont val="Aptos Narrow"/>
        <family val="2"/>
      </rPr>
      <t>2</t>
    </r>
    <r>
      <rPr>
        <sz val="11"/>
        <color theme="1"/>
        <rFont val="Aptos Narrow"/>
        <family val="2"/>
        <scheme val="minor"/>
      </rPr>
      <t xml:space="preserve">  value. Drop the chart to the right of this question, please.</t>
    </r>
  </si>
  <si>
    <t>Should unemployment be used as a proxy for consumer sales?</t>
  </si>
  <si>
    <t>&lt;&lt;&lt; expand to see the full data set</t>
  </si>
  <si>
    <t>You're looking at ways to beef up the revenue at your company. The ad spend seems to be driving the bulk of revenue to date, but you want to dig in to see what impact it's having. Use the data provided to answer the questions about how those two values relate.</t>
  </si>
  <si>
    <t>How much of the variation in the home price is explained by changes in each independent variable?</t>
  </si>
  <si>
    <t>You're building a website for homeowners to use that will calculate a likely sales price for their home based on a number of inputs they provide. You want to know how many inputs will suffice to create a reliable valuation model. Start with the data you already have organized below, and answer the questions about impacts to the sales price.</t>
  </si>
  <si>
    <t>House ID</t>
  </si>
  <si>
    <r>
      <t>Area (ft</t>
    </r>
    <r>
      <rPr>
        <b/>
        <vertAlign val="superscript"/>
        <sz val="11"/>
        <color rgb="FFFFFFFF"/>
        <rFont val="Aptos Narrow"/>
        <family val="2"/>
      </rPr>
      <t>2</t>
    </r>
    <r>
      <rPr>
        <b/>
        <sz val="11"/>
        <color rgb="FFFFFFFF"/>
        <rFont val="Aptos Narrow"/>
        <family val="2"/>
      </rPr>
      <t>)</t>
    </r>
  </si>
  <si>
    <t>ISD Rating</t>
  </si>
  <si>
    <t>Distance from city center</t>
  </si>
  <si>
    <t>Sale price</t>
  </si>
  <si>
    <r>
      <t>R</t>
    </r>
    <r>
      <rPr>
        <vertAlign val="superscript"/>
        <sz val="11"/>
        <color theme="1"/>
        <rFont val="Aptos Narrow"/>
        <family val="2"/>
      </rPr>
      <t>2</t>
    </r>
    <r>
      <rPr>
        <sz val="11"/>
        <color theme="1"/>
        <rFont val="Aptos Narrow"/>
        <family val="2"/>
        <scheme val="minor"/>
      </rPr>
      <t xml:space="preserve"> (size) ?</t>
    </r>
  </si>
  <si>
    <r>
      <t>R</t>
    </r>
    <r>
      <rPr>
        <vertAlign val="superscript"/>
        <sz val="11"/>
        <color theme="1"/>
        <rFont val="Aptos Narrow"/>
        <family val="2"/>
      </rPr>
      <t>2</t>
    </r>
    <r>
      <rPr>
        <sz val="11"/>
        <color theme="1"/>
        <rFont val="Aptos Narrow"/>
        <family val="2"/>
        <scheme val="minor"/>
      </rPr>
      <t xml:space="preserve"> (ISD rating) ?</t>
    </r>
  </si>
  <si>
    <r>
      <t>R</t>
    </r>
    <r>
      <rPr>
        <vertAlign val="superscript"/>
        <sz val="11"/>
        <color theme="1"/>
        <rFont val="Aptos Narrow"/>
        <family val="2"/>
      </rPr>
      <t>2</t>
    </r>
    <r>
      <rPr>
        <sz val="11"/>
        <color theme="1"/>
        <rFont val="Aptos Narrow"/>
        <family val="2"/>
        <scheme val="minor"/>
      </rPr>
      <t xml:space="preserve"> (proximity to downtown) ?</t>
    </r>
  </si>
  <si>
    <t>Which is the most important to include in your model?</t>
  </si>
  <si>
    <t>What does an incremental change in each variable do to the price of the home?</t>
  </si>
  <si>
    <t>I.e., how much does the price of the home change (+/-) for each of the following situations?</t>
  </si>
  <si>
    <t>Area increases by one square foot</t>
  </si>
  <si>
    <t>House is one mile farther from downtown</t>
  </si>
  <si>
    <t>ISD where home is located is rated one point higher</t>
  </si>
  <si>
    <t>Extra credit:</t>
  </si>
  <si>
    <t>There's not one single variable that impacts the dependent variable in this case. Two houses that are the same size and distance from the center of town may be in different school districts and, thus, may be priced differently.</t>
  </si>
  <si>
    <t>For this piece, I want you to run the regression using multiple independent variable. Use the data analysis add-in and select all of the independent variables in the data set for the multi-variable regression.</t>
  </si>
  <si>
    <t>Run the regression, and output the results in k24</t>
  </si>
  <si>
    <t>if y is the Sales Price, x1 is Area, x2 is Distance, and x3 is ISD, what would the regression equation be based on the regression statistics from the data analysis output?</t>
  </si>
  <si>
    <t>What would you estimate a home to cost that is 2000 square feet, 5 miles from the city center, in a school district rated 8?</t>
  </si>
  <si>
    <t>What kind of data is zip code?</t>
  </si>
  <si>
    <t>How could you incorporate that data for a town with two zip codes?</t>
  </si>
  <si>
    <t>Answer these last two questions related to handling non-quantitative data:</t>
  </si>
  <si>
    <t>+5pts</t>
  </si>
  <si>
    <t>+10pts</t>
  </si>
  <si>
    <t>+3pts</t>
  </si>
  <si>
    <t>+2pt</t>
  </si>
  <si>
    <t>Save this file and upload it to the site. Use the upload button in the 'Tests' tab to drag/drop or browse for the file.</t>
  </si>
  <si>
    <t>Name:</t>
  </si>
  <si>
    <t>https://acc.indiafoxtrotcharlie.com/2305/tests</t>
  </si>
  <si>
    <t>Date</t>
  </si>
  <si>
    <t>Of that 2025 ad spend  +8% , 60% will be spent evenly during the summer months: June, July, &amp; August</t>
  </si>
  <si>
    <t>Perform a regression analysis (using the data analysis tool), and drop the output in cell i10. * remember to take note of decimals v percents</t>
  </si>
  <si>
    <t>Student ID:</t>
  </si>
  <si>
    <t>Thank you all for your contributions in class, I hope you picked up some good stuff along the way. I've designed this course to be a little different from the traditional curriculum, so I appreciate you all being flexible for how I teach. I hope I didn't overwhelm anyone, that was not my intention.
What I did intend to do was communicate the elements of this course I know to be useful in the corporate world. I'd rather switch gears as many times as it takes if it means you know how to run a regression in Excel than to stick to the main line and drill y'all on equations because the book says so. I hope y'all got something out of it. I sure appreciate the opportunity to get y'all up to speed on the things I think will be valuable to you all in the future. Incidentally, I thought about letting you do some analysis on salaries with or without regression and correlation analysis, but opted out because it's a little self-serving, but I did include what I found below in case you need a reason to keep what you learned this spring fresh.
I wish you all the best in your future endeavors. I'll be in touch if you ever have questions about the business world in Texas. If you don't mind, I'd also like to respectully ask for some feedback on the course. I'd love to hear anything you have for me on what were the high and low points, any advice for improving the curriculum, as well as advice for future students taking the course. Is the website good? Do y'all like the case studies? Is textbook optional a good idea? What would help make this class better. Thank you all in advance. Take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</si>
</sst>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
    <numFmt numFmtId="165" formatCode="_(* #,##0_);_(* \(#,##0\);_(* &quot;-&quot;??_);_(@_)"/>
    <numFmt numFmtId="166" formatCode="0.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charset val="1"/>
    </font>
    <font>
      <b/>
      <sz val="11"/>
      <color rgb="FFFFFFFF"/>
      <name val="Arial"/>
      <family val="2"/>
    </font>
    <font>
      <sz val="10"/>
      <name val="Arial"/>
      <family val="2"/>
    </font>
    <font>
      <i/>
      <sz val="9"/>
      <color rgb="FF888888"/>
      <name val="Aptos Narrow"/>
      <family val="2"/>
    </font>
    <font>
      <sz val="11"/>
      <name val="Aptos Narrow"/>
      <family val="2"/>
    </font>
    <font>
      <b/>
      <sz val="11"/>
      <color rgb="FFFFFFFF"/>
      <name val="Aptos Narrow"/>
      <family val="2"/>
    </font>
    <font>
      <vertAlign val="superscript"/>
      <sz val="11"/>
      <color theme="1"/>
      <name val="Aptos Narrow"/>
      <family val="2"/>
    </font>
    <font>
      <b/>
      <sz val="11"/>
      <color theme="0"/>
      <name val="Aptos Narrow"/>
      <family val="2"/>
    </font>
    <font>
      <i/>
      <sz val="9"/>
      <color theme="1"/>
      <name val="Aptos Narrow"/>
      <family val="2"/>
      <scheme val="minor"/>
    </font>
    <font>
      <b/>
      <vertAlign val="superscript"/>
      <sz val="11"/>
      <color rgb="FFFFFFFF"/>
      <name val="Aptos Narrow"/>
      <family val="2"/>
    </font>
    <font>
      <b/>
      <sz val="11"/>
      <color rgb="FFFFFFFF"/>
      <name val="Aptos Narrow"/>
      <family val="2"/>
    </font>
    <font>
      <b/>
      <sz val="11"/>
      <color theme="1"/>
      <name val="Calibri"/>
      <family val="2"/>
    </font>
    <font>
      <u/>
      <sz val="11"/>
      <color theme="10"/>
      <name val="Aptos Narrow"/>
      <family val="2"/>
      <scheme val="minor"/>
    </font>
  </fonts>
  <fills count="5">
    <fill>
      <patternFill patternType="none"/>
    </fill>
    <fill>
      <patternFill patternType="gray125"/>
    </fill>
    <fill>
      <patternFill patternType="solid">
        <fgColor rgb="FFFFFFFF"/>
        <bgColor rgb="FFFFFFFF"/>
      </patternFill>
    </fill>
    <fill>
      <patternFill patternType="solid">
        <fgColor rgb="FFF7F7F7"/>
        <bgColor rgb="FFF7F7F7"/>
      </patternFill>
    </fill>
    <fill>
      <patternFill patternType="solid">
        <fgColor rgb="FF7030A0"/>
        <bgColor rgb="FF6B3FA0"/>
      </patternFill>
    </fill>
  </fills>
  <borders count="6">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medium">
        <color indexed="64"/>
      </left>
      <right style="medium">
        <color indexed="64"/>
      </right>
      <top style="medium">
        <color indexed="64"/>
      </top>
      <bottom style="medium">
        <color indexed="64"/>
      </bottom>
      <diagonal/>
    </border>
    <border>
      <left style="thin">
        <color rgb="FFCCCCCC"/>
      </left>
      <right style="thin">
        <color rgb="FFCCCCCC"/>
      </right>
      <top style="thin">
        <color rgb="FFCCCCCC"/>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15" fillId="0" borderId="0" applyNumberFormat="0" applyFill="0" applyBorder="0" applyAlignment="0" applyProtection="0"/>
  </cellStyleXfs>
  <cellXfs count="59">
    <xf numFmtId="0" fontId="0" fillId="0" borderId="0" xfId="0"/>
    <xf numFmtId="0" fontId="3" fillId="0" borderId="0" xfId="3"/>
    <xf numFmtId="164" fontId="5" fillId="0" borderId="1" xfId="3" applyNumberFormat="1" applyFont="1" applyBorder="1"/>
    <xf numFmtId="0" fontId="3" fillId="0" borderId="0" xfId="3" applyAlignment="1">
      <alignment wrapText="1"/>
    </xf>
    <xf numFmtId="0" fontId="6" fillId="0" borderId="0" xfId="0" applyFont="1"/>
    <xf numFmtId="0" fontId="8" fillId="4" borderId="2" xfId="0" applyFont="1" applyFill="1" applyBorder="1" applyAlignment="1">
      <alignment horizontal="center" vertical="center"/>
    </xf>
    <xf numFmtId="0" fontId="4" fillId="4" borderId="1" xfId="3" applyFont="1" applyFill="1" applyBorder="1" applyAlignment="1">
      <alignment horizontal="center" wrapText="1"/>
    </xf>
    <xf numFmtId="0" fontId="4" fillId="4" borderId="0" xfId="3" applyFont="1" applyFill="1" applyAlignment="1">
      <alignment horizontal="center" wrapText="1"/>
    </xf>
    <xf numFmtId="0" fontId="0" fillId="0" borderId="0" xfId="0" applyAlignment="1">
      <alignment wrapText="1"/>
    </xf>
    <xf numFmtId="14" fontId="0" fillId="0" borderId="0" xfId="0" applyNumberFormat="1"/>
    <xf numFmtId="14" fontId="7" fillId="3" borderId="2" xfId="0" applyNumberFormat="1" applyFont="1" applyFill="1" applyBorder="1" applyAlignment="1">
      <alignment horizontal="left" vertical="center"/>
    </xf>
    <xf numFmtId="14" fontId="7" fillId="2" borderId="2" xfId="0" applyNumberFormat="1" applyFont="1" applyFill="1" applyBorder="1" applyAlignment="1">
      <alignment horizontal="left" vertical="center"/>
    </xf>
    <xf numFmtId="0" fontId="8" fillId="4" borderId="4" xfId="0" applyFont="1" applyFill="1" applyBorder="1" applyAlignment="1">
      <alignment horizontal="center" vertical="center"/>
    </xf>
    <xf numFmtId="0" fontId="0" fillId="0" borderId="3" xfId="0" applyBorder="1"/>
    <xf numFmtId="0" fontId="0" fillId="0" borderId="3" xfId="0" applyBorder="1" applyAlignment="1">
      <alignment horizontal="right"/>
    </xf>
    <xf numFmtId="0" fontId="0" fillId="0" borderId="0" xfId="0" applyAlignment="1">
      <alignment horizontal="right"/>
    </xf>
    <xf numFmtId="43" fontId="0" fillId="0" borderId="3" xfId="1" applyFont="1" applyBorder="1"/>
    <xf numFmtId="2" fontId="0" fillId="0" borderId="3" xfId="1" applyNumberFormat="1" applyFont="1" applyBorder="1"/>
    <xf numFmtId="0" fontId="8" fillId="4" borderId="2" xfId="0" applyFont="1" applyFill="1" applyBorder="1" applyAlignment="1">
      <alignment horizontal="right" vertical="center"/>
    </xf>
    <xf numFmtId="0" fontId="8" fillId="4" borderId="2" xfId="0" applyFont="1" applyFill="1" applyBorder="1" applyAlignment="1">
      <alignment horizontal="right" vertical="center" indent="2"/>
    </xf>
    <xf numFmtId="165" fontId="0" fillId="0" borderId="0" xfId="1" applyNumberFormat="1" applyFont="1"/>
    <xf numFmtId="0" fontId="10" fillId="4" borderId="2" xfId="0" applyFont="1" applyFill="1" applyBorder="1" applyAlignment="1">
      <alignment horizontal="right" vertical="center"/>
    </xf>
    <xf numFmtId="0" fontId="0" fillId="0" borderId="0" xfId="0" applyAlignment="1">
      <alignment horizontal="center"/>
    </xf>
    <xf numFmtId="9" fontId="0" fillId="0" borderId="3" xfId="2" applyFont="1" applyBorder="1"/>
    <xf numFmtId="164" fontId="0" fillId="0" borderId="3" xfId="0" applyNumberFormat="1" applyBorder="1"/>
    <xf numFmtId="166" fontId="0" fillId="0" borderId="3" xfId="2" applyNumberFormat="1" applyFont="1" applyBorder="1"/>
    <xf numFmtId="14" fontId="5" fillId="0" borderId="1" xfId="3" applyNumberFormat="1" applyFont="1" applyBorder="1"/>
    <xf numFmtId="0" fontId="0" fillId="0" borderId="3" xfId="0" applyBorder="1" applyAlignment="1">
      <alignment wrapText="1"/>
    </xf>
    <xf numFmtId="0" fontId="4" fillId="4" borderId="0" xfId="3" applyFont="1" applyFill="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43" fontId="0" fillId="0" borderId="1" xfId="1" applyFont="1" applyBorder="1"/>
    <xf numFmtId="43" fontId="0" fillId="0" borderId="3" xfId="0" applyNumberFormat="1" applyBorder="1"/>
    <xf numFmtId="0" fontId="11" fillId="0" borderId="0" xfId="0" applyFont="1"/>
    <xf numFmtId="0" fontId="0" fillId="0" borderId="5" xfId="0" applyBorder="1"/>
    <xf numFmtId="0" fontId="2" fillId="0" borderId="0" xfId="0" applyFont="1" applyAlignment="1">
      <alignment wrapText="1"/>
    </xf>
    <xf numFmtId="0" fontId="0" fillId="0" borderId="5" xfId="0" applyBorder="1" applyAlignment="1">
      <alignment wrapText="1"/>
    </xf>
    <xf numFmtId="165" fontId="8" fillId="4" borderId="2" xfId="1" applyNumberFormat="1" applyFont="1" applyFill="1" applyBorder="1" applyAlignment="1">
      <alignment horizontal="right" vertical="center"/>
    </xf>
    <xf numFmtId="165" fontId="13" fillId="4" borderId="2" xfId="1" applyNumberFormat="1" applyFont="1" applyFill="1" applyBorder="1" applyAlignment="1">
      <alignment horizontal="right" vertical="center"/>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right" vertical="center"/>
    </xf>
    <xf numFmtId="0" fontId="0" fillId="0" borderId="3" xfId="0" applyBorder="1" applyAlignment="1">
      <alignment vertical="center"/>
    </xf>
    <xf numFmtId="43" fontId="0" fillId="0" borderId="3" xfId="1" applyFont="1" applyBorder="1" applyAlignment="1">
      <alignment vertical="center"/>
    </xf>
    <xf numFmtId="0" fontId="0" fillId="0" borderId="0" xfId="0" quotePrefix="1" applyAlignment="1">
      <alignment vertical="center"/>
    </xf>
    <xf numFmtId="0" fontId="0" fillId="0" borderId="3" xfId="0" quotePrefix="1" applyBorder="1" applyAlignment="1">
      <alignment vertical="center"/>
    </xf>
    <xf numFmtId="165" fontId="0" fillId="0" borderId="3" xfId="1" applyNumberFormat="1" applyFont="1" applyBorder="1" applyAlignment="1">
      <alignment vertical="center"/>
    </xf>
    <xf numFmtId="0" fontId="0" fillId="0" borderId="3" xfId="0" applyBorder="1" applyAlignment="1">
      <alignment vertical="center" wrapText="1"/>
    </xf>
    <xf numFmtId="0" fontId="14" fillId="0" borderId="0" xfId="3" applyFont="1"/>
    <xf numFmtId="0" fontId="15" fillId="0" borderId="0" xfId="4"/>
    <xf numFmtId="0" fontId="14" fillId="0" borderId="3" xfId="3" applyFont="1" applyBorder="1"/>
    <xf numFmtId="10" fontId="7" fillId="2" borderId="2" xfId="2" applyNumberFormat="1" applyFont="1" applyFill="1" applyBorder="1" applyAlignment="1">
      <alignment horizontal="right" vertical="center"/>
    </xf>
    <xf numFmtId="10" fontId="7" fillId="3" borderId="2" xfId="2" applyNumberFormat="1" applyFont="1" applyFill="1" applyBorder="1" applyAlignment="1">
      <alignment horizontal="right" vertical="center"/>
    </xf>
    <xf numFmtId="165" fontId="7" fillId="2" borderId="2" xfId="1" applyNumberFormat="1" applyFont="1" applyFill="1" applyBorder="1" applyAlignment="1">
      <alignment horizontal="right" vertical="center"/>
    </xf>
    <xf numFmtId="165" fontId="7" fillId="3" borderId="2" xfId="0" applyNumberFormat="1" applyFont="1" applyFill="1" applyBorder="1" applyAlignment="1">
      <alignment horizontal="right" vertical="center"/>
    </xf>
    <xf numFmtId="165" fontId="7" fillId="2" borderId="2" xfId="0" applyNumberFormat="1" applyFont="1" applyFill="1" applyBorder="1" applyAlignment="1">
      <alignment horizontal="right" vertical="center"/>
    </xf>
    <xf numFmtId="0" fontId="0" fillId="0" borderId="3" xfId="0" applyBorder="1" applyAlignment="1">
      <alignment horizontal="right" vertical="center"/>
    </xf>
    <xf numFmtId="0" fontId="0" fillId="0" borderId="0" xfId="0" applyAlignment="1">
      <alignment horizontal="left" indent="2"/>
    </xf>
    <xf numFmtId="0" fontId="0" fillId="0" borderId="0" xfId="0" quotePrefix="1" applyAlignment="1">
      <alignment horizontal="left" indent="2"/>
    </xf>
  </cellXfs>
  <cellStyles count="5">
    <cellStyle name="Comma" xfId="1" builtinId="3"/>
    <cellStyle name="Hyperlink" xfId="4" builtinId="8"/>
    <cellStyle name="Normal" xfId="0" builtinId="0"/>
    <cellStyle name="Normal 2" xfId="3" xr:uid="{0B829760-54C6-4532-8C75-FBD26DB3E7E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acc.indiafoxtrotcharlie.com/2305/te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F9DD-D273-41A6-960F-9805D5381293}">
  <dimension ref="B1:C6"/>
  <sheetViews>
    <sheetView tabSelected="1" zoomScaleNormal="100" workbookViewId="0"/>
  </sheetViews>
  <sheetFormatPr defaultColWidth="8.53125" defaultRowHeight="14.25" x14ac:dyDescent="0.45"/>
  <cols>
    <col min="1" max="1" width="4" style="1" customWidth="1"/>
    <col min="2" max="2" width="60" style="1" customWidth="1"/>
    <col min="3" max="3" width="67.19921875" style="1" customWidth="1"/>
    <col min="4" max="16384" width="8.53125" style="1"/>
  </cols>
  <sheetData>
    <row r="1" spans="2:3" ht="14.65" thickBot="1" x14ac:dyDescent="0.5"/>
    <row r="2" spans="2:3" ht="15" customHeight="1" thickBot="1" x14ac:dyDescent="0.5">
      <c r="B2" s="48" t="s">
        <v>71</v>
      </c>
      <c r="C2" s="50"/>
    </row>
    <row r="3" spans="2:3" ht="14.65" thickBot="1" x14ac:dyDescent="0.5"/>
    <row r="4" spans="2:3" ht="14.65" thickBot="1" x14ac:dyDescent="0.5">
      <c r="B4" s="48" t="s">
        <v>76</v>
      </c>
      <c r="C4" s="50"/>
    </row>
    <row r="6" spans="2:3" ht="15" customHeight="1" x14ac:dyDescent="0.45">
      <c r="B6" s="3"/>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173A-8E2A-4489-8F9F-E737DC68687A}">
  <sheetPr>
    <outlinePr summaryBelow="0" summaryRight="0"/>
  </sheetPr>
  <dimension ref="A2:H66"/>
  <sheetViews>
    <sheetView workbookViewId="0">
      <selection activeCell="G66" sqref="G66"/>
    </sheetView>
  </sheetViews>
  <sheetFormatPr defaultRowHeight="14.25" outlineLevelRow="1" x14ac:dyDescent="0.45"/>
  <cols>
    <col min="1" max="1" width="28.796875" bestFit="1" customWidth="1"/>
    <col min="2" max="2" width="15" customWidth="1"/>
    <col min="3" max="3" width="14.796875" customWidth="1"/>
    <col min="4" max="4" width="15.19921875" customWidth="1"/>
    <col min="6" max="6" width="84.53125" style="29" bestFit="1" customWidth="1"/>
    <col min="7" max="7" width="72.46484375" customWidth="1"/>
    <col min="8" max="8" width="24.796875" bestFit="1" customWidth="1"/>
  </cols>
  <sheetData>
    <row r="2" spans="2:7" x14ac:dyDescent="0.45">
      <c r="F2" s="34" t="s">
        <v>8</v>
      </c>
    </row>
    <row r="3" spans="2:7" ht="42.75" x14ac:dyDescent="0.45">
      <c r="F3" s="35" t="s">
        <v>40</v>
      </c>
    </row>
    <row r="7" spans="2:7" collapsed="1" x14ac:dyDescent="0.45">
      <c r="B7" s="6" t="s">
        <v>0</v>
      </c>
      <c r="C7" s="6" t="s">
        <v>1</v>
      </c>
      <c r="D7" s="6" t="s">
        <v>2</v>
      </c>
      <c r="F7" s="28" t="s">
        <v>4</v>
      </c>
      <c r="G7" s="7" t="s">
        <v>3</v>
      </c>
    </row>
    <row r="8" spans="2:7" hidden="1" outlineLevel="1" x14ac:dyDescent="0.45">
      <c r="B8" s="26">
        <v>44957</v>
      </c>
      <c r="C8" s="2">
        <v>2524</v>
      </c>
      <c r="D8" s="2">
        <v>17305</v>
      </c>
    </row>
    <row r="9" spans="2:7" hidden="1" outlineLevel="1" x14ac:dyDescent="0.45">
      <c r="B9" s="26">
        <f>+EOMONTH(B8,1)</f>
        <v>44985</v>
      </c>
      <c r="C9" s="2">
        <v>2984</v>
      </c>
      <c r="D9" s="2">
        <v>20203</v>
      </c>
    </row>
    <row r="10" spans="2:7" hidden="1" outlineLevel="1" x14ac:dyDescent="0.45">
      <c r="B10" s="26">
        <f t="shared" ref="B10:B43" si="0">+EOMONTH(B9,1)</f>
        <v>45016</v>
      </c>
      <c r="C10" s="2">
        <v>3270</v>
      </c>
      <c r="D10" s="2">
        <v>24213</v>
      </c>
    </row>
    <row r="11" spans="2:7" hidden="1" outlineLevel="1" x14ac:dyDescent="0.45">
      <c r="B11" s="26">
        <f t="shared" si="0"/>
        <v>45046</v>
      </c>
      <c r="C11" s="2">
        <v>3466</v>
      </c>
      <c r="D11" s="2">
        <v>25955</v>
      </c>
    </row>
    <row r="12" spans="2:7" hidden="1" outlineLevel="1" x14ac:dyDescent="0.45">
      <c r="B12" s="26">
        <f t="shared" si="0"/>
        <v>45077</v>
      </c>
      <c r="C12" s="2">
        <v>4138</v>
      </c>
      <c r="D12" s="2">
        <v>30333</v>
      </c>
    </row>
    <row r="13" spans="2:7" hidden="1" outlineLevel="1" x14ac:dyDescent="0.45">
      <c r="B13" s="26">
        <f t="shared" si="0"/>
        <v>45107</v>
      </c>
      <c r="C13" s="2">
        <v>4444</v>
      </c>
      <c r="D13" s="2">
        <v>33132</v>
      </c>
    </row>
    <row r="14" spans="2:7" hidden="1" outlineLevel="1" x14ac:dyDescent="0.45">
      <c r="B14" s="26">
        <f t="shared" si="0"/>
        <v>45138</v>
      </c>
      <c r="C14" s="2">
        <v>4963</v>
      </c>
      <c r="D14" s="2">
        <v>33346</v>
      </c>
    </row>
    <row r="15" spans="2:7" hidden="1" outlineLevel="1" x14ac:dyDescent="0.45">
      <c r="B15" s="26">
        <f t="shared" si="0"/>
        <v>45169</v>
      </c>
      <c r="C15" s="2">
        <v>4630</v>
      </c>
      <c r="D15" s="2">
        <v>30632</v>
      </c>
    </row>
    <row r="16" spans="2:7" hidden="1" outlineLevel="1" x14ac:dyDescent="0.45">
      <c r="B16" s="26">
        <f t="shared" si="0"/>
        <v>45199</v>
      </c>
      <c r="C16" s="2">
        <v>4312</v>
      </c>
      <c r="D16" s="2">
        <v>28121</v>
      </c>
    </row>
    <row r="17" spans="2:4" hidden="1" outlineLevel="1" x14ac:dyDescent="0.45">
      <c r="B17" s="26">
        <f t="shared" si="0"/>
        <v>45230</v>
      </c>
      <c r="C17" s="2">
        <v>3817</v>
      </c>
      <c r="D17" s="2">
        <v>25241</v>
      </c>
    </row>
    <row r="18" spans="2:4" hidden="1" outlineLevel="1" x14ac:dyDescent="0.45">
      <c r="B18" s="26">
        <f t="shared" si="0"/>
        <v>45260</v>
      </c>
      <c r="C18" s="2">
        <v>3615</v>
      </c>
      <c r="D18" s="2">
        <v>24257</v>
      </c>
    </row>
    <row r="19" spans="2:4" hidden="1" outlineLevel="1" x14ac:dyDescent="0.45">
      <c r="B19" s="26">
        <f t="shared" si="0"/>
        <v>45291</v>
      </c>
      <c r="C19" s="2">
        <v>3422</v>
      </c>
      <c r="D19" s="2">
        <v>21313</v>
      </c>
    </row>
    <row r="20" spans="2:4" hidden="1" outlineLevel="1" x14ac:dyDescent="0.45">
      <c r="B20" s="26">
        <f t="shared" si="0"/>
        <v>45322</v>
      </c>
      <c r="C20" s="2">
        <v>3283</v>
      </c>
      <c r="D20" s="2">
        <v>21156</v>
      </c>
    </row>
    <row r="21" spans="2:4" hidden="1" outlineLevel="1" x14ac:dyDescent="0.45">
      <c r="B21" s="26">
        <f t="shared" si="0"/>
        <v>45351</v>
      </c>
      <c r="C21" s="2">
        <v>3676</v>
      </c>
      <c r="D21" s="2">
        <v>25883</v>
      </c>
    </row>
    <row r="22" spans="2:4" hidden="1" outlineLevel="1" x14ac:dyDescent="0.45">
      <c r="B22" s="26">
        <f t="shared" si="0"/>
        <v>45382</v>
      </c>
      <c r="C22" s="2">
        <v>3986</v>
      </c>
      <c r="D22" s="2">
        <v>27880</v>
      </c>
    </row>
    <row r="23" spans="2:4" hidden="1" outlineLevel="1" x14ac:dyDescent="0.45">
      <c r="B23" s="26">
        <f t="shared" si="0"/>
        <v>45412</v>
      </c>
      <c r="C23" s="2">
        <v>4451</v>
      </c>
      <c r="D23" s="2">
        <v>28602</v>
      </c>
    </row>
    <row r="24" spans="2:4" hidden="1" outlineLevel="1" x14ac:dyDescent="0.45">
      <c r="B24" s="26">
        <f t="shared" si="0"/>
        <v>45443</v>
      </c>
      <c r="C24" s="2">
        <v>4726</v>
      </c>
      <c r="D24" s="2">
        <v>31903</v>
      </c>
    </row>
    <row r="25" spans="2:4" hidden="1" outlineLevel="1" x14ac:dyDescent="0.45">
      <c r="B25" s="26">
        <f t="shared" si="0"/>
        <v>45473</v>
      </c>
      <c r="C25" s="2">
        <v>5125</v>
      </c>
      <c r="D25" s="2">
        <v>35018</v>
      </c>
    </row>
    <row r="26" spans="2:4" hidden="1" outlineLevel="1" x14ac:dyDescent="0.45">
      <c r="B26" s="26">
        <f t="shared" si="0"/>
        <v>45504</v>
      </c>
      <c r="C26" s="2">
        <v>5115</v>
      </c>
      <c r="D26" s="2">
        <v>33465</v>
      </c>
    </row>
    <row r="27" spans="2:4" hidden="1" outlineLevel="1" x14ac:dyDescent="0.45">
      <c r="B27" s="26">
        <f t="shared" si="0"/>
        <v>45535</v>
      </c>
      <c r="C27" s="2">
        <v>4866</v>
      </c>
      <c r="D27" s="2">
        <v>33757</v>
      </c>
    </row>
    <row r="28" spans="2:4" hidden="1" outlineLevel="1" x14ac:dyDescent="0.45">
      <c r="B28" s="26">
        <f t="shared" si="0"/>
        <v>45565</v>
      </c>
      <c r="C28" s="2">
        <v>5221</v>
      </c>
      <c r="D28" s="2">
        <v>30194</v>
      </c>
    </row>
    <row r="29" spans="2:4" hidden="1" outlineLevel="1" x14ac:dyDescent="0.45">
      <c r="B29" s="26">
        <f t="shared" si="0"/>
        <v>45596</v>
      </c>
      <c r="C29" s="2">
        <v>4115</v>
      </c>
      <c r="D29" s="2">
        <v>27020</v>
      </c>
    </row>
    <row r="30" spans="2:4" hidden="1" outlineLevel="1" x14ac:dyDescent="0.45">
      <c r="B30" s="26">
        <f t="shared" si="0"/>
        <v>45626</v>
      </c>
      <c r="C30" s="2">
        <v>4339</v>
      </c>
      <c r="D30" s="2">
        <v>26072</v>
      </c>
    </row>
    <row r="31" spans="2:4" hidden="1" outlineLevel="1" x14ac:dyDescent="0.45">
      <c r="B31" s="26">
        <f t="shared" si="0"/>
        <v>45657</v>
      </c>
      <c r="C31" s="2">
        <v>3844</v>
      </c>
      <c r="D31" s="2">
        <v>23849</v>
      </c>
    </row>
    <row r="32" spans="2:4" hidden="1" outlineLevel="1" x14ac:dyDescent="0.45">
      <c r="B32" s="26">
        <f t="shared" si="0"/>
        <v>45688</v>
      </c>
      <c r="C32" s="2">
        <v>4567</v>
      </c>
      <c r="D32" s="2">
        <v>25510</v>
      </c>
    </row>
    <row r="33" spans="1:7" hidden="1" outlineLevel="1" x14ac:dyDescent="0.45">
      <c r="B33" s="26">
        <f t="shared" si="0"/>
        <v>45716</v>
      </c>
      <c r="C33" s="2">
        <v>4196</v>
      </c>
      <c r="D33" s="2">
        <v>26303</v>
      </c>
    </row>
    <row r="34" spans="1:7" hidden="1" outlineLevel="1" x14ac:dyDescent="0.45">
      <c r="B34" s="26">
        <f t="shared" si="0"/>
        <v>45747</v>
      </c>
      <c r="C34" s="2">
        <v>4187</v>
      </c>
      <c r="D34" s="2">
        <v>28284</v>
      </c>
    </row>
    <row r="35" spans="1:7" hidden="1" outlineLevel="1" x14ac:dyDescent="0.45">
      <c r="B35" s="26">
        <f t="shared" si="0"/>
        <v>45777</v>
      </c>
      <c r="C35" s="2">
        <v>5172</v>
      </c>
      <c r="D35" s="2">
        <v>32594</v>
      </c>
    </row>
    <row r="36" spans="1:7" hidden="1" outlineLevel="1" x14ac:dyDescent="0.45">
      <c r="B36" s="26">
        <f t="shared" si="0"/>
        <v>45808</v>
      </c>
      <c r="C36" s="2">
        <v>4982</v>
      </c>
      <c r="D36" s="2">
        <v>34601</v>
      </c>
    </row>
    <row r="37" spans="1:7" hidden="1" outlineLevel="1" x14ac:dyDescent="0.45">
      <c r="B37" s="26">
        <f t="shared" si="0"/>
        <v>45838</v>
      </c>
      <c r="C37" s="2">
        <v>5537</v>
      </c>
      <c r="D37" s="2">
        <v>35048</v>
      </c>
    </row>
    <row r="38" spans="1:7" hidden="1" outlineLevel="1" x14ac:dyDescent="0.45">
      <c r="B38" s="26">
        <f t="shared" si="0"/>
        <v>45869</v>
      </c>
      <c r="C38" s="2">
        <v>5482</v>
      </c>
      <c r="D38" s="2">
        <v>33679</v>
      </c>
    </row>
    <row r="39" spans="1:7" hidden="1" outlineLevel="1" x14ac:dyDescent="0.45">
      <c r="B39" s="26">
        <f t="shared" si="0"/>
        <v>45900</v>
      </c>
      <c r="C39" s="2">
        <v>5816</v>
      </c>
      <c r="D39" s="2">
        <v>35123</v>
      </c>
    </row>
    <row r="40" spans="1:7" hidden="1" outlineLevel="1" x14ac:dyDescent="0.45">
      <c r="B40" s="26">
        <f t="shared" si="0"/>
        <v>45930</v>
      </c>
      <c r="C40" s="2">
        <v>5476</v>
      </c>
      <c r="D40" s="2">
        <v>33233</v>
      </c>
    </row>
    <row r="41" spans="1:7" x14ac:dyDescent="0.45">
      <c r="B41" s="26">
        <f t="shared" si="0"/>
        <v>45961</v>
      </c>
      <c r="C41" s="2">
        <v>4927</v>
      </c>
      <c r="D41" s="2">
        <v>28628</v>
      </c>
    </row>
    <row r="42" spans="1:7" x14ac:dyDescent="0.45">
      <c r="B42" s="26">
        <f t="shared" si="0"/>
        <v>45991</v>
      </c>
      <c r="C42" s="2">
        <v>4713</v>
      </c>
      <c r="D42" s="2">
        <v>26614</v>
      </c>
    </row>
    <row r="43" spans="1:7" collapsed="1" x14ac:dyDescent="0.45">
      <c r="A43" s="33" t="s">
        <v>39</v>
      </c>
      <c r="B43" s="26">
        <f t="shared" si="0"/>
        <v>46022</v>
      </c>
      <c r="C43" s="2">
        <v>4544</v>
      </c>
      <c r="D43" s="2">
        <v>26754</v>
      </c>
    </row>
    <row r="44" spans="1:7" x14ac:dyDescent="0.45">
      <c r="F44" s="29" t="s">
        <v>18</v>
      </c>
      <c r="G44" s="22" t="s">
        <v>19</v>
      </c>
    </row>
    <row r="45" spans="1:7" ht="14.65" thickBot="1" x14ac:dyDescent="0.5">
      <c r="B45" s="26">
        <f>+EOMONTH(B43,1)</f>
        <v>46053</v>
      </c>
      <c r="C45" s="31"/>
      <c r="D45" s="31"/>
    </row>
    <row r="46" spans="1:7" ht="14.65" thickBot="1" x14ac:dyDescent="0.5">
      <c r="B46" s="26">
        <f t="shared" ref="B46:B56" si="1">+EOMONTH(B45,1)</f>
        <v>46081</v>
      </c>
      <c r="C46" s="31"/>
      <c r="D46" s="31"/>
      <c r="F46" s="30">
        <v>2023</v>
      </c>
      <c r="G46" s="24"/>
    </row>
    <row r="47" spans="1:7" ht="14.65" thickBot="1" x14ac:dyDescent="0.5">
      <c r="B47" s="26">
        <f t="shared" si="1"/>
        <v>46112</v>
      </c>
      <c r="C47" s="31"/>
      <c r="D47" s="31"/>
      <c r="F47" s="30">
        <v>2024</v>
      </c>
      <c r="G47" s="24"/>
    </row>
    <row r="48" spans="1:7" ht="14.65" thickBot="1" x14ac:dyDescent="0.5">
      <c r="B48" s="26">
        <f t="shared" si="1"/>
        <v>46142</v>
      </c>
      <c r="C48" s="31"/>
      <c r="D48" s="31"/>
      <c r="F48" s="30">
        <v>2025</v>
      </c>
      <c r="G48" s="24"/>
    </row>
    <row r="49" spans="2:8" ht="14.65" thickBot="1" x14ac:dyDescent="0.5">
      <c r="B49" s="26">
        <f t="shared" si="1"/>
        <v>46173</v>
      </c>
      <c r="C49" s="31"/>
      <c r="D49" s="31"/>
    </row>
    <row r="50" spans="2:8" ht="14.65" thickBot="1" x14ac:dyDescent="0.5">
      <c r="B50" s="26">
        <f t="shared" si="1"/>
        <v>46203</v>
      </c>
      <c r="C50" s="31"/>
      <c r="D50" s="31"/>
      <c r="F50" s="29" t="s">
        <v>23</v>
      </c>
      <c r="G50" s="25"/>
    </row>
    <row r="51" spans="2:8" ht="14.65" thickBot="1" x14ac:dyDescent="0.5">
      <c r="B51" s="26">
        <f t="shared" si="1"/>
        <v>46234</v>
      </c>
      <c r="C51" s="31"/>
      <c r="D51" s="31"/>
    </row>
    <row r="52" spans="2:8" ht="14.65" thickBot="1" x14ac:dyDescent="0.5">
      <c r="B52" s="26">
        <f t="shared" si="1"/>
        <v>46265</v>
      </c>
      <c r="C52" s="31"/>
      <c r="D52" s="31"/>
      <c r="F52" s="29" t="s">
        <v>20</v>
      </c>
      <c r="G52" s="13"/>
      <c r="H52" t="s">
        <v>21</v>
      </c>
    </row>
    <row r="53" spans="2:8" ht="14.65" thickBot="1" x14ac:dyDescent="0.5">
      <c r="B53" s="26">
        <f t="shared" si="1"/>
        <v>46295</v>
      </c>
      <c r="C53" s="31"/>
      <c r="D53" s="31"/>
      <c r="G53" s="13"/>
      <c r="H53" t="s">
        <v>22</v>
      </c>
    </row>
    <row r="54" spans="2:8" ht="14.65" thickBot="1" x14ac:dyDescent="0.5">
      <c r="B54" s="26">
        <f t="shared" si="1"/>
        <v>46326</v>
      </c>
      <c r="C54" s="31"/>
      <c r="D54" s="31"/>
    </row>
    <row r="55" spans="2:8" ht="14.65" thickBot="1" x14ac:dyDescent="0.5">
      <c r="B55" s="26">
        <f t="shared" si="1"/>
        <v>46356</v>
      </c>
      <c r="C55" s="31"/>
      <c r="D55" s="31"/>
      <c r="F55" s="29" t="s">
        <v>24</v>
      </c>
      <c r="G55" s="23"/>
      <c r="H55" t="s">
        <v>25</v>
      </c>
    </row>
    <row r="56" spans="2:8" ht="14.65" thickBot="1" x14ac:dyDescent="0.5">
      <c r="B56" s="26">
        <f t="shared" si="1"/>
        <v>46387</v>
      </c>
      <c r="C56" s="31"/>
      <c r="D56" s="31"/>
    </row>
    <row r="57" spans="2:8" ht="14.65" thickBot="1" x14ac:dyDescent="0.5">
      <c r="F57" s="29" t="s">
        <v>27</v>
      </c>
      <c r="G57" s="16"/>
      <c r="H57" t="s">
        <v>26</v>
      </c>
    </row>
    <row r="58" spans="2:8" ht="14.65" thickBot="1" x14ac:dyDescent="0.5"/>
    <row r="59" spans="2:8" ht="14.65" thickBot="1" x14ac:dyDescent="0.5">
      <c r="F59" s="29" t="s">
        <v>28</v>
      </c>
      <c r="G59" s="16"/>
      <c r="H59" t="s">
        <v>29</v>
      </c>
    </row>
    <row r="61" spans="2:8" ht="14.65" thickBot="1" x14ac:dyDescent="0.5"/>
    <row r="62" spans="2:8" ht="14.65" thickBot="1" x14ac:dyDescent="0.5">
      <c r="F62" s="29" t="s">
        <v>30</v>
      </c>
      <c r="G62" s="27"/>
    </row>
    <row r="63" spans="2:8" x14ac:dyDescent="0.45">
      <c r="F63" s="29" t="s">
        <v>74</v>
      </c>
    </row>
    <row r="64" spans="2:8" x14ac:dyDescent="0.45">
      <c r="F64" s="29" t="s">
        <v>31</v>
      </c>
    </row>
    <row r="65" spans="6:7" ht="14.65" thickBot="1" x14ac:dyDescent="0.5"/>
    <row r="66" spans="6:7" ht="14.65" thickBot="1" x14ac:dyDescent="0.5">
      <c r="F66" s="29" t="s">
        <v>32</v>
      </c>
      <c r="G66"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F2F8-AD41-4565-840C-A969CF2888A6}">
  <dimension ref="A2:G207"/>
  <sheetViews>
    <sheetView zoomScale="130" zoomScaleNormal="130" workbookViewId="0"/>
  </sheetViews>
  <sheetFormatPr defaultRowHeight="14.25" x14ac:dyDescent="0.45"/>
  <cols>
    <col min="1" max="1" width="9.46484375" bestFit="1" customWidth="1"/>
    <col min="2" max="2" width="41" customWidth="1"/>
    <col min="3" max="3" width="32.53125" style="15" customWidth="1"/>
    <col min="4" max="4" width="22" style="15" customWidth="1"/>
    <col min="6" max="6" width="91.53125" bestFit="1" customWidth="1"/>
    <col min="7" max="7" width="28" customWidth="1"/>
    <col min="9" max="9" width="22.46484375" bestFit="1" customWidth="1"/>
    <col min="10" max="10" width="12.73046875" bestFit="1" customWidth="1"/>
    <col min="11" max="11" width="14.73046875" bestFit="1" customWidth="1"/>
    <col min="12" max="12" width="12.73046875" bestFit="1" customWidth="1"/>
    <col min="13" max="13" width="12" bestFit="1" customWidth="1"/>
    <col min="14" max="14" width="13.73046875" bestFit="1" customWidth="1"/>
    <col min="15" max="15" width="12.73046875" bestFit="1" customWidth="1"/>
    <col min="16" max="17" width="12.796875" bestFit="1" customWidth="1"/>
  </cols>
  <sheetData>
    <row r="2" spans="1:7" x14ac:dyDescent="0.45">
      <c r="F2" s="36" t="s">
        <v>8</v>
      </c>
    </row>
    <row r="3" spans="1:7" ht="42.75" x14ac:dyDescent="0.45">
      <c r="F3" s="35" t="s">
        <v>33</v>
      </c>
    </row>
    <row r="4" spans="1:7" ht="28.5" x14ac:dyDescent="0.45">
      <c r="F4" s="35" t="s">
        <v>34</v>
      </c>
    </row>
    <row r="5" spans="1:7" x14ac:dyDescent="0.45">
      <c r="F5" s="35" t="s">
        <v>35</v>
      </c>
    </row>
    <row r="6" spans="1:7" ht="28.5" x14ac:dyDescent="0.45">
      <c r="F6" s="35" t="s">
        <v>36</v>
      </c>
    </row>
    <row r="7" spans="1:7" x14ac:dyDescent="0.45">
      <c r="F7" s="35"/>
    </row>
    <row r="8" spans="1:7" x14ac:dyDescent="0.45">
      <c r="B8" s="8"/>
    </row>
    <row r="9" spans="1:7" ht="14.65" thickBot="1" x14ac:dyDescent="0.5">
      <c r="B9" s="5" t="s">
        <v>73</v>
      </c>
      <c r="C9" s="19" t="s">
        <v>7</v>
      </c>
      <c r="D9" s="18" t="s">
        <v>6</v>
      </c>
      <c r="F9" s="5" t="s">
        <v>4</v>
      </c>
      <c r="G9" s="12" t="s">
        <v>3</v>
      </c>
    </row>
    <row r="10" spans="1:7" ht="14.65" thickBot="1" x14ac:dyDescent="0.5">
      <c r="A10" s="9"/>
      <c r="B10" s="11">
        <v>46113</v>
      </c>
      <c r="C10" s="51"/>
      <c r="D10" s="53"/>
      <c r="F10" t="s">
        <v>13</v>
      </c>
      <c r="G10" s="14"/>
    </row>
    <row r="11" spans="1:7" ht="14.65" thickBot="1" x14ac:dyDescent="0.5">
      <c r="A11" s="9"/>
      <c r="B11" s="10">
        <v>46082</v>
      </c>
      <c r="C11" s="52"/>
      <c r="D11" s="54"/>
      <c r="G11" s="15"/>
    </row>
    <row r="12" spans="1:7" ht="14.65" thickBot="1" x14ac:dyDescent="0.5">
      <c r="A12" s="9"/>
      <c r="B12" s="11">
        <v>46054</v>
      </c>
      <c r="C12" s="51"/>
      <c r="D12" s="55"/>
      <c r="F12" t="s">
        <v>14</v>
      </c>
      <c r="G12" s="14"/>
    </row>
    <row r="13" spans="1:7" ht="14.65" thickBot="1" x14ac:dyDescent="0.5">
      <c r="A13" s="9"/>
      <c r="B13" s="10">
        <v>46023</v>
      </c>
      <c r="C13" s="52"/>
      <c r="D13" s="54"/>
    </row>
    <row r="14" spans="1:7" ht="14.65" thickBot="1" x14ac:dyDescent="0.5">
      <c r="A14" s="9"/>
      <c r="B14" s="11">
        <v>45992</v>
      </c>
      <c r="C14" s="51"/>
      <c r="D14" s="55"/>
      <c r="F14" t="s">
        <v>9</v>
      </c>
      <c r="G14" s="13"/>
    </row>
    <row r="15" spans="1:7" ht="14.65" thickBot="1" x14ac:dyDescent="0.5">
      <c r="A15" s="9"/>
      <c r="B15" s="10">
        <v>45962</v>
      </c>
      <c r="C15" s="52"/>
      <c r="D15" s="54"/>
    </row>
    <row r="16" spans="1:7" ht="16.149999999999999" thickBot="1" x14ac:dyDescent="0.5">
      <c r="A16" s="9"/>
      <c r="B16" s="11">
        <v>45931</v>
      </c>
      <c r="C16" s="51"/>
      <c r="D16" s="55"/>
      <c r="F16" t="s">
        <v>17</v>
      </c>
      <c r="G16" s="13"/>
    </row>
    <row r="17" spans="1:7" ht="14.65" thickBot="1" x14ac:dyDescent="0.5">
      <c r="A17" s="9"/>
      <c r="B17" s="10">
        <v>45901</v>
      </c>
      <c r="C17" s="52"/>
      <c r="D17" s="54"/>
    </row>
    <row r="18" spans="1:7" ht="14.65" thickBot="1" x14ac:dyDescent="0.5">
      <c r="A18" s="9"/>
      <c r="B18" s="11">
        <v>45870</v>
      </c>
      <c r="C18" s="51"/>
      <c r="D18" s="55"/>
      <c r="F18" t="s">
        <v>10</v>
      </c>
      <c r="G18" s="17"/>
    </row>
    <row r="19" spans="1:7" ht="14.65" thickBot="1" x14ac:dyDescent="0.5">
      <c r="A19" s="9"/>
      <c r="B19" s="10">
        <v>45839</v>
      </c>
      <c r="C19" s="52"/>
      <c r="D19" s="54"/>
    </row>
    <row r="20" spans="1:7" ht="14.65" thickBot="1" x14ac:dyDescent="0.5">
      <c r="A20" s="9"/>
      <c r="B20" s="11">
        <v>45809</v>
      </c>
      <c r="C20" s="51"/>
      <c r="D20" s="55"/>
      <c r="F20" t="s">
        <v>11</v>
      </c>
      <c r="G20" s="16"/>
    </row>
    <row r="21" spans="1:7" ht="14.65" thickBot="1" x14ac:dyDescent="0.5">
      <c r="A21" s="9"/>
      <c r="B21" s="10">
        <v>45778</v>
      </c>
      <c r="C21" s="52"/>
      <c r="D21" s="54"/>
    </row>
    <row r="22" spans="1:7" ht="14.65" thickBot="1" x14ac:dyDescent="0.5">
      <c r="A22" s="9"/>
      <c r="B22" s="11">
        <v>45748</v>
      </c>
      <c r="C22" s="51"/>
      <c r="D22" s="55"/>
      <c r="F22" t="s">
        <v>15</v>
      </c>
      <c r="G22" s="16"/>
    </row>
    <row r="23" spans="1:7" ht="14.65" thickBot="1" x14ac:dyDescent="0.5">
      <c r="A23" s="9"/>
      <c r="B23" s="10">
        <v>45717</v>
      </c>
      <c r="C23" s="52"/>
      <c r="D23" s="54"/>
    </row>
    <row r="24" spans="1:7" ht="14.65" thickBot="1" x14ac:dyDescent="0.5">
      <c r="A24" s="9"/>
      <c r="B24" s="11">
        <v>45689</v>
      </c>
      <c r="C24" s="51"/>
      <c r="D24" s="55"/>
      <c r="F24" t="s">
        <v>16</v>
      </c>
      <c r="G24" s="16"/>
    </row>
    <row r="25" spans="1:7" ht="14.65" thickBot="1" x14ac:dyDescent="0.5">
      <c r="A25" s="9"/>
      <c r="B25" s="10">
        <v>45658</v>
      </c>
      <c r="C25" s="52"/>
      <c r="D25" s="54"/>
    </row>
    <row r="26" spans="1:7" ht="14.65" thickBot="1" x14ac:dyDescent="0.5">
      <c r="A26" s="9"/>
      <c r="B26" s="11">
        <v>45627</v>
      </c>
      <c r="C26" s="51"/>
      <c r="D26" s="55"/>
      <c r="F26" t="s">
        <v>12</v>
      </c>
      <c r="G26" s="13"/>
    </row>
    <row r="27" spans="1:7" x14ac:dyDescent="0.45">
      <c r="A27" s="9"/>
      <c r="B27" s="10">
        <v>45597</v>
      </c>
      <c r="C27" s="52"/>
      <c r="D27" s="54"/>
    </row>
    <row r="28" spans="1:7" x14ac:dyDescent="0.45">
      <c r="A28" s="9"/>
      <c r="B28" s="11">
        <v>45566</v>
      </c>
      <c r="C28" s="51"/>
      <c r="D28" s="55"/>
      <c r="F28" t="s">
        <v>75</v>
      </c>
    </row>
    <row r="29" spans="1:7" x14ac:dyDescent="0.45">
      <c r="A29" s="9"/>
      <c r="B29" s="10">
        <v>45536</v>
      </c>
      <c r="C29" s="52"/>
      <c r="D29" s="54"/>
    </row>
    <row r="30" spans="1:7" ht="30" x14ac:dyDescent="0.45">
      <c r="A30" s="9"/>
      <c r="B30" s="11">
        <v>45505</v>
      </c>
      <c r="C30" s="51"/>
      <c r="D30" s="55"/>
      <c r="F30" s="8" t="s">
        <v>37</v>
      </c>
    </row>
    <row r="31" spans="1:7" ht="14.65" thickBot="1" x14ac:dyDescent="0.5">
      <c r="A31" s="9"/>
      <c r="B31" s="10">
        <v>45474</v>
      </c>
      <c r="C31" s="52"/>
      <c r="D31" s="54"/>
    </row>
    <row r="32" spans="1:7" ht="14.65" thickBot="1" x14ac:dyDescent="0.5">
      <c r="A32" s="9"/>
      <c r="B32" s="11">
        <v>45444</v>
      </c>
      <c r="C32" s="51"/>
      <c r="D32" s="55"/>
      <c r="F32" t="s">
        <v>38</v>
      </c>
      <c r="G32" s="13"/>
    </row>
    <row r="33" spans="1:4" x14ac:dyDescent="0.45">
      <c r="A33" s="9"/>
      <c r="B33" s="10">
        <v>45413</v>
      </c>
      <c r="C33" s="52"/>
      <c r="D33" s="54"/>
    </row>
    <row r="34" spans="1:4" x14ac:dyDescent="0.45">
      <c r="A34" s="9"/>
      <c r="B34" s="11">
        <v>45383</v>
      </c>
      <c r="C34" s="51"/>
      <c r="D34" s="55"/>
    </row>
    <row r="35" spans="1:4" x14ac:dyDescent="0.45">
      <c r="A35" s="9"/>
      <c r="B35" s="10">
        <v>45352</v>
      </c>
      <c r="C35" s="52"/>
      <c r="D35" s="54"/>
    </row>
    <row r="36" spans="1:4" x14ac:dyDescent="0.45">
      <c r="A36" s="9"/>
      <c r="B36" s="11">
        <v>45323</v>
      </c>
      <c r="C36" s="51"/>
      <c r="D36" s="55"/>
    </row>
    <row r="37" spans="1:4" x14ac:dyDescent="0.45">
      <c r="A37" s="9"/>
      <c r="B37" s="10">
        <v>45292</v>
      </c>
      <c r="C37" s="52"/>
      <c r="D37" s="54"/>
    </row>
    <row r="38" spans="1:4" x14ac:dyDescent="0.45">
      <c r="A38" s="9"/>
      <c r="B38" s="11">
        <v>45261</v>
      </c>
      <c r="C38" s="51"/>
      <c r="D38" s="55"/>
    </row>
    <row r="39" spans="1:4" x14ac:dyDescent="0.45">
      <c r="A39" s="9"/>
      <c r="B39" s="10">
        <v>45231</v>
      </c>
      <c r="C39" s="52"/>
      <c r="D39" s="54"/>
    </row>
    <row r="40" spans="1:4" x14ac:dyDescent="0.45">
      <c r="A40" s="9"/>
      <c r="B40" s="11">
        <v>45200</v>
      </c>
      <c r="C40" s="51"/>
      <c r="D40" s="55"/>
    </row>
    <row r="41" spans="1:4" x14ac:dyDescent="0.45">
      <c r="A41" s="9"/>
      <c r="B41" s="10">
        <v>45170</v>
      </c>
      <c r="C41" s="52"/>
      <c r="D41" s="54"/>
    </row>
    <row r="42" spans="1:4" x14ac:dyDescent="0.45">
      <c r="A42" s="9"/>
      <c r="B42" s="11">
        <v>45139</v>
      </c>
      <c r="C42" s="51"/>
      <c r="D42" s="55"/>
    </row>
    <row r="43" spans="1:4" x14ac:dyDescent="0.45">
      <c r="A43" s="9"/>
      <c r="B43" s="10">
        <v>45108</v>
      </c>
      <c r="C43" s="52"/>
      <c r="D43" s="54"/>
    </row>
    <row r="44" spans="1:4" x14ac:dyDescent="0.45">
      <c r="A44" s="9"/>
      <c r="B44" s="11">
        <v>45078</v>
      </c>
      <c r="C44" s="51"/>
      <c r="D44" s="55"/>
    </row>
    <row r="45" spans="1:4" x14ac:dyDescent="0.45">
      <c r="A45" s="9"/>
      <c r="B45" s="10">
        <v>45047</v>
      </c>
      <c r="C45" s="52"/>
      <c r="D45" s="54"/>
    </row>
    <row r="46" spans="1:4" x14ac:dyDescent="0.45">
      <c r="A46" s="9"/>
      <c r="B46" s="11">
        <v>45017</v>
      </c>
      <c r="C46" s="51"/>
      <c r="D46" s="55"/>
    </row>
    <row r="47" spans="1:4" x14ac:dyDescent="0.45">
      <c r="A47" s="9"/>
      <c r="B47" s="10">
        <v>44986</v>
      </c>
      <c r="C47" s="52"/>
      <c r="D47" s="54"/>
    </row>
    <row r="48" spans="1:4" x14ac:dyDescent="0.45">
      <c r="A48" s="9"/>
      <c r="B48" s="11">
        <v>44958</v>
      </c>
      <c r="C48" s="51"/>
      <c r="D48" s="55"/>
    </row>
    <row r="49" spans="1:4" x14ac:dyDescent="0.45">
      <c r="A49" s="9"/>
      <c r="B49" s="10">
        <v>44927</v>
      </c>
      <c r="C49" s="52"/>
      <c r="D49" s="54"/>
    </row>
    <row r="50" spans="1:4" x14ac:dyDescent="0.45">
      <c r="A50" s="9"/>
      <c r="B50" s="11">
        <v>44896</v>
      </c>
      <c r="C50" s="51"/>
      <c r="D50" s="55"/>
    </row>
    <row r="51" spans="1:4" x14ac:dyDescent="0.45">
      <c r="A51" s="9"/>
      <c r="B51" s="10">
        <v>44866</v>
      </c>
      <c r="C51" s="52"/>
      <c r="D51" s="54"/>
    </row>
    <row r="52" spans="1:4" x14ac:dyDescent="0.45">
      <c r="A52" s="9"/>
      <c r="B52" s="11">
        <v>44835</v>
      </c>
      <c r="C52" s="51"/>
      <c r="D52" s="55"/>
    </row>
    <row r="53" spans="1:4" x14ac:dyDescent="0.45">
      <c r="A53" s="9"/>
      <c r="B53" s="10">
        <v>44805</v>
      </c>
      <c r="C53" s="52"/>
      <c r="D53" s="54"/>
    </row>
    <row r="54" spans="1:4" x14ac:dyDescent="0.45">
      <c r="A54" s="9"/>
      <c r="B54" s="11">
        <v>44774</v>
      </c>
      <c r="C54" s="51"/>
      <c r="D54" s="55"/>
    </row>
    <row r="55" spans="1:4" x14ac:dyDescent="0.45">
      <c r="A55" s="9"/>
      <c r="B55" s="10">
        <v>44743</v>
      </c>
      <c r="C55" s="52"/>
      <c r="D55" s="54"/>
    </row>
    <row r="56" spans="1:4" x14ac:dyDescent="0.45">
      <c r="A56" s="9"/>
      <c r="B56" s="11">
        <v>44713</v>
      </c>
      <c r="C56" s="51"/>
      <c r="D56" s="55"/>
    </row>
    <row r="57" spans="1:4" x14ac:dyDescent="0.45">
      <c r="A57" s="9"/>
      <c r="B57" s="10">
        <v>44682</v>
      </c>
      <c r="C57" s="52"/>
      <c r="D57" s="54"/>
    </row>
    <row r="58" spans="1:4" x14ac:dyDescent="0.45">
      <c r="A58" s="9"/>
      <c r="B58" s="11">
        <v>44652</v>
      </c>
      <c r="C58" s="51"/>
      <c r="D58" s="55"/>
    </row>
    <row r="59" spans="1:4" x14ac:dyDescent="0.45">
      <c r="A59" s="9"/>
      <c r="B59" s="10">
        <v>44621</v>
      </c>
      <c r="C59" s="52"/>
      <c r="D59" s="54"/>
    </row>
    <row r="60" spans="1:4" x14ac:dyDescent="0.45">
      <c r="A60" s="9"/>
      <c r="B60" s="11">
        <v>44593</v>
      </c>
      <c r="C60" s="51"/>
      <c r="D60" s="55"/>
    </row>
    <row r="61" spans="1:4" x14ac:dyDescent="0.45">
      <c r="A61" s="9"/>
      <c r="B61" s="10">
        <v>44562</v>
      </c>
      <c r="C61" s="52"/>
      <c r="D61" s="54"/>
    </row>
    <row r="62" spans="1:4" x14ac:dyDescent="0.45">
      <c r="A62" s="9"/>
      <c r="B62" s="11">
        <v>44531</v>
      </c>
      <c r="C62" s="51"/>
      <c r="D62" s="55"/>
    </row>
    <row r="63" spans="1:4" x14ac:dyDescent="0.45">
      <c r="A63" s="9"/>
      <c r="B63" s="10">
        <v>44501</v>
      </c>
      <c r="C63" s="52"/>
      <c r="D63" s="54"/>
    </row>
    <row r="64" spans="1:4" x14ac:dyDescent="0.45">
      <c r="A64" s="9"/>
      <c r="B64" s="11">
        <v>44470</v>
      </c>
      <c r="C64" s="51"/>
      <c r="D64" s="55"/>
    </row>
    <row r="65" spans="1:4" x14ac:dyDescent="0.45">
      <c r="A65" s="9"/>
      <c r="B65" s="10">
        <v>44440</v>
      </c>
      <c r="C65" s="52"/>
      <c r="D65" s="54"/>
    </row>
    <row r="66" spans="1:4" x14ac:dyDescent="0.45">
      <c r="A66" s="9"/>
      <c r="B66" s="11">
        <v>44409</v>
      </c>
      <c r="C66" s="51"/>
      <c r="D66" s="55"/>
    </row>
    <row r="67" spans="1:4" x14ac:dyDescent="0.45">
      <c r="A67" s="9"/>
      <c r="B67" s="10">
        <v>44378</v>
      </c>
      <c r="C67" s="52"/>
      <c r="D67" s="54"/>
    </row>
    <row r="68" spans="1:4" x14ac:dyDescent="0.45">
      <c r="A68" s="9"/>
      <c r="B68" s="11">
        <v>44348</v>
      </c>
      <c r="C68" s="51"/>
      <c r="D68" s="55"/>
    </row>
    <row r="69" spans="1:4" x14ac:dyDescent="0.45">
      <c r="A69" s="9"/>
      <c r="B69" s="10">
        <v>44317</v>
      </c>
      <c r="C69" s="52"/>
      <c r="D69" s="54"/>
    </row>
    <row r="70" spans="1:4" x14ac:dyDescent="0.45">
      <c r="A70" s="9"/>
      <c r="B70" s="11">
        <v>44287</v>
      </c>
      <c r="C70" s="51"/>
      <c r="D70" s="55"/>
    </row>
    <row r="71" spans="1:4" x14ac:dyDescent="0.45">
      <c r="A71" s="9"/>
      <c r="B71" s="10">
        <v>44256</v>
      </c>
      <c r="C71" s="52"/>
      <c r="D71" s="54"/>
    </row>
    <row r="72" spans="1:4" x14ac:dyDescent="0.45">
      <c r="A72" s="9"/>
      <c r="B72" s="11">
        <v>44228</v>
      </c>
      <c r="C72" s="51"/>
      <c r="D72" s="55"/>
    </row>
    <row r="73" spans="1:4" x14ac:dyDescent="0.45">
      <c r="A73" s="9"/>
      <c r="B73" s="10">
        <v>44197</v>
      </c>
      <c r="C73" s="52"/>
      <c r="D73" s="54"/>
    </row>
    <row r="74" spans="1:4" x14ac:dyDescent="0.45">
      <c r="A74" s="9"/>
      <c r="B74" s="11">
        <v>44166</v>
      </c>
      <c r="C74" s="51"/>
      <c r="D74" s="55"/>
    </row>
    <row r="75" spans="1:4" x14ac:dyDescent="0.45">
      <c r="A75" s="9"/>
      <c r="B75" s="10">
        <v>44136</v>
      </c>
      <c r="C75" s="52"/>
      <c r="D75" s="54"/>
    </row>
    <row r="76" spans="1:4" x14ac:dyDescent="0.45">
      <c r="A76" s="9"/>
      <c r="B76" s="11">
        <v>44105</v>
      </c>
      <c r="C76" s="51"/>
      <c r="D76" s="55"/>
    </row>
    <row r="77" spans="1:4" x14ac:dyDescent="0.45">
      <c r="A77" s="9"/>
      <c r="B77" s="10">
        <v>44075</v>
      </c>
      <c r="C77" s="52"/>
      <c r="D77" s="54"/>
    </row>
    <row r="78" spans="1:4" x14ac:dyDescent="0.45">
      <c r="A78" s="9"/>
      <c r="B78" s="11">
        <v>44044</v>
      </c>
      <c r="C78" s="51"/>
      <c r="D78" s="55"/>
    </row>
    <row r="79" spans="1:4" x14ac:dyDescent="0.45">
      <c r="A79" s="9"/>
      <c r="B79" s="10">
        <v>44013</v>
      </c>
      <c r="C79" s="52"/>
      <c r="D79" s="54"/>
    </row>
    <row r="80" spans="1:4" x14ac:dyDescent="0.45">
      <c r="A80" s="9"/>
      <c r="B80" s="11">
        <v>43983</v>
      </c>
      <c r="C80" s="51"/>
      <c r="D80" s="55"/>
    </row>
    <row r="81" spans="1:4" x14ac:dyDescent="0.45">
      <c r="A81" s="9"/>
      <c r="B81" s="10">
        <v>43952</v>
      </c>
      <c r="C81" s="52"/>
      <c r="D81" s="54"/>
    </row>
    <row r="82" spans="1:4" x14ac:dyDescent="0.45">
      <c r="A82" s="9"/>
      <c r="B82" s="11">
        <v>43922</v>
      </c>
      <c r="C82" s="51"/>
      <c r="D82" s="55"/>
    </row>
    <row r="83" spans="1:4" x14ac:dyDescent="0.45">
      <c r="A83" s="9"/>
      <c r="B83" s="10">
        <v>43891</v>
      </c>
      <c r="C83" s="52"/>
      <c r="D83" s="54"/>
    </row>
    <row r="84" spans="1:4" x14ac:dyDescent="0.45">
      <c r="A84" s="9"/>
      <c r="B84" s="11">
        <v>43862</v>
      </c>
      <c r="C84" s="51"/>
      <c r="D84" s="55"/>
    </row>
    <row r="85" spans="1:4" x14ac:dyDescent="0.45">
      <c r="A85" s="9"/>
      <c r="B85" s="10">
        <v>43831</v>
      </c>
      <c r="C85" s="52"/>
      <c r="D85" s="54"/>
    </row>
    <row r="86" spans="1:4" x14ac:dyDescent="0.45">
      <c r="A86" s="9"/>
      <c r="B86" s="11">
        <v>43800</v>
      </c>
      <c r="C86" s="51"/>
      <c r="D86" s="55"/>
    </row>
    <row r="87" spans="1:4" x14ac:dyDescent="0.45">
      <c r="A87" s="9"/>
      <c r="B87" s="10">
        <v>43770</v>
      </c>
      <c r="C87" s="52"/>
      <c r="D87" s="54"/>
    </row>
    <row r="88" spans="1:4" x14ac:dyDescent="0.45">
      <c r="A88" s="9"/>
      <c r="B88" s="11">
        <v>43739</v>
      </c>
      <c r="C88" s="51"/>
      <c r="D88" s="55"/>
    </row>
    <row r="89" spans="1:4" x14ac:dyDescent="0.45">
      <c r="A89" s="9"/>
      <c r="B89" s="10">
        <v>43709</v>
      </c>
      <c r="C89" s="52"/>
      <c r="D89" s="54"/>
    </row>
    <row r="90" spans="1:4" x14ac:dyDescent="0.45">
      <c r="A90" s="9"/>
      <c r="B90" s="11">
        <v>43678</v>
      </c>
      <c r="C90" s="51"/>
      <c r="D90" s="55"/>
    </row>
    <row r="91" spans="1:4" x14ac:dyDescent="0.45">
      <c r="A91" s="9"/>
      <c r="B91" s="10">
        <v>43647</v>
      </c>
      <c r="C91" s="52"/>
      <c r="D91" s="54"/>
    </row>
    <row r="92" spans="1:4" x14ac:dyDescent="0.45">
      <c r="A92" s="9"/>
      <c r="B92" s="11">
        <v>43617</v>
      </c>
      <c r="C92" s="51"/>
      <c r="D92" s="55"/>
    </row>
    <row r="93" spans="1:4" x14ac:dyDescent="0.45">
      <c r="A93" s="9"/>
      <c r="B93" s="10">
        <v>43586</v>
      </c>
      <c r="C93" s="52"/>
      <c r="D93" s="54"/>
    </row>
    <row r="94" spans="1:4" x14ac:dyDescent="0.45">
      <c r="A94" s="9"/>
      <c r="B94" s="11">
        <v>43556</v>
      </c>
      <c r="C94" s="51"/>
      <c r="D94" s="55"/>
    </row>
    <row r="95" spans="1:4" x14ac:dyDescent="0.45">
      <c r="A95" s="9"/>
      <c r="B95" s="10">
        <v>43525</v>
      </c>
      <c r="C95" s="52"/>
      <c r="D95" s="54"/>
    </row>
    <row r="96" spans="1:4" x14ac:dyDescent="0.45">
      <c r="A96" s="9"/>
      <c r="B96" s="11">
        <v>43497</v>
      </c>
      <c r="C96" s="51"/>
      <c r="D96" s="55"/>
    </row>
    <row r="97" spans="1:4" x14ac:dyDescent="0.45">
      <c r="A97" s="9"/>
      <c r="B97" s="10">
        <v>43466</v>
      </c>
      <c r="C97" s="52"/>
      <c r="D97" s="54"/>
    </row>
    <row r="98" spans="1:4" x14ac:dyDescent="0.45">
      <c r="A98" s="9"/>
      <c r="B98" s="11">
        <v>43435</v>
      </c>
      <c r="C98" s="51"/>
      <c r="D98" s="55"/>
    </row>
    <row r="99" spans="1:4" x14ac:dyDescent="0.45">
      <c r="A99" s="9"/>
      <c r="B99" s="10">
        <v>43405</v>
      </c>
      <c r="C99" s="52"/>
      <c r="D99" s="54"/>
    </row>
    <row r="100" spans="1:4" x14ac:dyDescent="0.45">
      <c r="A100" s="9"/>
      <c r="B100" s="11">
        <v>43374</v>
      </c>
      <c r="C100" s="51"/>
      <c r="D100" s="55"/>
    </row>
    <row r="101" spans="1:4" x14ac:dyDescent="0.45">
      <c r="A101" s="9"/>
      <c r="B101" s="10">
        <v>43344</v>
      </c>
      <c r="C101" s="52"/>
      <c r="D101" s="54"/>
    </row>
    <row r="102" spans="1:4" x14ac:dyDescent="0.45">
      <c r="A102" s="9"/>
      <c r="B102" s="11">
        <v>43313</v>
      </c>
      <c r="C102" s="51"/>
      <c r="D102" s="55"/>
    </row>
    <row r="103" spans="1:4" x14ac:dyDescent="0.45">
      <c r="A103" s="9"/>
      <c r="B103" s="10">
        <v>43282</v>
      </c>
      <c r="C103" s="52"/>
      <c r="D103" s="54"/>
    </row>
    <row r="104" spans="1:4" x14ac:dyDescent="0.45">
      <c r="A104" s="9"/>
      <c r="B104" s="11">
        <v>43252</v>
      </c>
      <c r="C104" s="51"/>
      <c r="D104" s="55"/>
    </row>
    <row r="105" spans="1:4" x14ac:dyDescent="0.45">
      <c r="A105" s="9"/>
      <c r="B105" s="10">
        <v>43221</v>
      </c>
      <c r="C105" s="52"/>
      <c r="D105" s="54"/>
    </row>
    <row r="106" spans="1:4" x14ac:dyDescent="0.45">
      <c r="A106" s="9"/>
      <c r="B106" s="11">
        <v>43191</v>
      </c>
      <c r="C106" s="51"/>
      <c r="D106" s="55"/>
    </row>
    <row r="107" spans="1:4" x14ac:dyDescent="0.45">
      <c r="A107" s="9"/>
      <c r="B107" s="10">
        <v>43160</v>
      </c>
      <c r="C107" s="52"/>
      <c r="D107" s="54"/>
    </row>
    <row r="108" spans="1:4" x14ac:dyDescent="0.45">
      <c r="A108" s="9"/>
      <c r="B108" s="11">
        <v>43132</v>
      </c>
      <c r="C108" s="51"/>
      <c r="D108" s="55"/>
    </row>
    <row r="109" spans="1:4" x14ac:dyDescent="0.45">
      <c r="A109" s="9"/>
      <c r="B109" s="10">
        <v>43101</v>
      </c>
      <c r="C109" s="52"/>
      <c r="D109" s="54"/>
    </row>
    <row r="110" spans="1:4" x14ac:dyDescent="0.45">
      <c r="A110" s="9"/>
      <c r="B110" s="11">
        <v>43070</v>
      </c>
      <c r="C110" s="51"/>
      <c r="D110" s="55"/>
    </row>
    <row r="111" spans="1:4" x14ac:dyDescent="0.45">
      <c r="A111" s="9"/>
      <c r="B111" s="10">
        <v>43040</v>
      </c>
      <c r="C111" s="52"/>
      <c r="D111" s="54"/>
    </row>
    <row r="112" spans="1:4" x14ac:dyDescent="0.45">
      <c r="A112" s="9"/>
      <c r="B112" s="11">
        <v>43009</v>
      </c>
      <c r="C112" s="51"/>
      <c r="D112" s="55"/>
    </row>
    <row r="113" spans="1:4" x14ac:dyDescent="0.45">
      <c r="A113" s="9"/>
      <c r="B113" s="10">
        <v>42979</v>
      </c>
      <c r="C113" s="52"/>
      <c r="D113" s="54"/>
    </row>
    <row r="114" spans="1:4" x14ac:dyDescent="0.45">
      <c r="A114" s="9"/>
      <c r="B114" s="11">
        <v>42948</v>
      </c>
      <c r="C114" s="51"/>
      <c r="D114" s="55"/>
    </row>
    <row r="115" spans="1:4" x14ac:dyDescent="0.45">
      <c r="A115" s="9"/>
      <c r="B115" s="10">
        <v>42917</v>
      </c>
      <c r="C115" s="52"/>
      <c r="D115" s="54"/>
    </row>
    <row r="116" spans="1:4" x14ac:dyDescent="0.45">
      <c r="A116" s="9"/>
      <c r="B116" s="11">
        <v>42887</v>
      </c>
      <c r="C116" s="51"/>
      <c r="D116" s="55"/>
    </row>
    <row r="117" spans="1:4" x14ac:dyDescent="0.45">
      <c r="A117" s="9"/>
      <c r="B117" s="10">
        <v>42856</v>
      </c>
      <c r="C117" s="52"/>
      <c r="D117" s="54"/>
    </row>
    <row r="118" spans="1:4" x14ac:dyDescent="0.45">
      <c r="A118" s="9"/>
      <c r="B118" s="11">
        <v>42826</v>
      </c>
      <c r="C118" s="51"/>
      <c r="D118" s="55"/>
    </row>
    <row r="119" spans="1:4" x14ac:dyDescent="0.45">
      <c r="A119" s="9"/>
      <c r="B119" s="10">
        <v>42795</v>
      </c>
      <c r="C119" s="52"/>
      <c r="D119" s="54"/>
    </row>
    <row r="120" spans="1:4" x14ac:dyDescent="0.45">
      <c r="A120" s="9"/>
      <c r="B120" s="11">
        <v>42767</v>
      </c>
      <c r="C120" s="51"/>
      <c r="D120" s="55"/>
    </row>
    <row r="121" spans="1:4" x14ac:dyDescent="0.45">
      <c r="A121" s="9"/>
      <c r="B121" s="10">
        <v>42736</v>
      </c>
      <c r="C121" s="52"/>
      <c r="D121" s="54"/>
    </row>
    <row r="122" spans="1:4" x14ac:dyDescent="0.45">
      <c r="A122" s="9"/>
      <c r="B122" s="11">
        <v>42705</v>
      </c>
      <c r="C122" s="51"/>
      <c r="D122" s="55"/>
    </row>
    <row r="123" spans="1:4" x14ac:dyDescent="0.45">
      <c r="A123" s="9"/>
      <c r="B123" s="10">
        <v>42675</v>
      </c>
      <c r="C123" s="52"/>
      <c r="D123" s="54"/>
    </row>
    <row r="124" spans="1:4" x14ac:dyDescent="0.45">
      <c r="A124" s="9"/>
      <c r="B124" s="11">
        <v>42644</v>
      </c>
      <c r="C124" s="51"/>
      <c r="D124" s="55"/>
    </row>
    <row r="125" spans="1:4" x14ac:dyDescent="0.45">
      <c r="A125" s="9"/>
      <c r="B125" s="10">
        <v>42614</v>
      </c>
      <c r="C125" s="52"/>
      <c r="D125" s="54"/>
    </row>
    <row r="126" spans="1:4" x14ac:dyDescent="0.45">
      <c r="A126" s="9"/>
      <c r="B126" s="11">
        <v>42583</v>
      </c>
      <c r="C126" s="51"/>
      <c r="D126" s="55"/>
    </row>
    <row r="127" spans="1:4" x14ac:dyDescent="0.45">
      <c r="A127" s="9"/>
      <c r="B127" s="10">
        <v>42552</v>
      </c>
      <c r="C127" s="52"/>
      <c r="D127" s="54"/>
    </row>
    <row r="128" spans="1:4" x14ac:dyDescent="0.45">
      <c r="A128" s="9"/>
      <c r="B128" s="11">
        <v>42522</v>
      </c>
      <c r="C128" s="51"/>
      <c r="D128" s="55"/>
    </row>
    <row r="129" spans="1:4" x14ac:dyDescent="0.45">
      <c r="A129" s="9"/>
      <c r="B129" s="10">
        <v>42491</v>
      </c>
      <c r="C129" s="52"/>
      <c r="D129" s="54"/>
    </row>
    <row r="130" spans="1:4" x14ac:dyDescent="0.45">
      <c r="A130" s="9"/>
      <c r="B130" s="11">
        <v>42461</v>
      </c>
      <c r="C130" s="51"/>
      <c r="D130" s="55"/>
    </row>
    <row r="131" spans="1:4" x14ac:dyDescent="0.45">
      <c r="A131" s="9"/>
      <c r="B131" s="10">
        <v>42430</v>
      </c>
      <c r="C131" s="52"/>
      <c r="D131" s="54"/>
    </row>
    <row r="132" spans="1:4" x14ac:dyDescent="0.45">
      <c r="A132" s="9"/>
      <c r="B132" s="11">
        <v>42401</v>
      </c>
      <c r="C132" s="51"/>
      <c r="D132" s="55"/>
    </row>
    <row r="133" spans="1:4" x14ac:dyDescent="0.45">
      <c r="A133" s="9"/>
      <c r="B133" s="10">
        <v>42370</v>
      </c>
      <c r="C133" s="52"/>
      <c r="D133" s="54"/>
    </row>
    <row r="134" spans="1:4" x14ac:dyDescent="0.45">
      <c r="A134" s="9"/>
      <c r="B134" s="11">
        <v>42339</v>
      </c>
      <c r="C134" s="51"/>
      <c r="D134" s="55"/>
    </row>
    <row r="135" spans="1:4" x14ac:dyDescent="0.45">
      <c r="A135" s="9"/>
      <c r="B135" s="10">
        <v>42309</v>
      </c>
      <c r="C135" s="52"/>
      <c r="D135" s="54"/>
    </row>
    <row r="136" spans="1:4" x14ac:dyDescent="0.45">
      <c r="A136" s="9"/>
      <c r="B136" s="11">
        <v>42278</v>
      </c>
      <c r="C136" s="51"/>
      <c r="D136" s="55"/>
    </row>
    <row r="137" spans="1:4" x14ac:dyDescent="0.45">
      <c r="A137" s="9"/>
      <c r="B137" s="10">
        <v>42248</v>
      </c>
      <c r="C137" s="52"/>
      <c r="D137" s="54"/>
    </row>
    <row r="138" spans="1:4" x14ac:dyDescent="0.45">
      <c r="A138" s="9"/>
      <c r="B138" s="11">
        <v>42217</v>
      </c>
      <c r="C138" s="51"/>
      <c r="D138" s="55"/>
    </row>
    <row r="139" spans="1:4" x14ac:dyDescent="0.45">
      <c r="A139" s="9"/>
      <c r="B139" s="10">
        <v>42186</v>
      </c>
      <c r="C139" s="52"/>
      <c r="D139" s="54"/>
    </row>
    <row r="140" spans="1:4" x14ac:dyDescent="0.45">
      <c r="A140" s="9"/>
      <c r="B140" s="11">
        <v>42156</v>
      </c>
      <c r="C140" s="51"/>
      <c r="D140" s="55"/>
    </row>
    <row r="141" spans="1:4" x14ac:dyDescent="0.45">
      <c r="A141" s="9"/>
      <c r="B141" s="10">
        <v>42125</v>
      </c>
      <c r="C141" s="52"/>
      <c r="D141" s="54"/>
    </row>
    <row r="142" spans="1:4" x14ac:dyDescent="0.45">
      <c r="A142" s="9"/>
      <c r="B142" s="11">
        <v>42095</v>
      </c>
      <c r="C142" s="51"/>
      <c r="D142" s="55"/>
    </row>
    <row r="143" spans="1:4" x14ac:dyDescent="0.45">
      <c r="A143" s="9"/>
      <c r="B143" s="10">
        <v>42064</v>
      </c>
      <c r="C143" s="52"/>
      <c r="D143" s="54"/>
    </row>
    <row r="144" spans="1:4" x14ac:dyDescent="0.45">
      <c r="A144" s="9"/>
      <c r="B144" s="11">
        <v>42036</v>
      </c>
      <c r="C144" s="51"/>
      <c r="D144" s="55"/>
    </row>
    <row r="145" spans="1:4" x14ac:dyDescent="0.45">
      <c r="A145" s="9"/>
      <c r="B145" s="10">
        <v>42005</v>
      </c>
      <c r="C145" s="52"/>
      <c r="D145" s="54"/>
    </row>
    <row r="146" spans="1:4" x14ac:dyDescent="0.45">
      <c r="A146" s="9"/>
      <c r="B146" s="11">
        <v>41974</v>
      </c>
      <c r="C146" s="51"/>
      <c r="D146" s="55"/>
    </row>
    <row r="147" spans="1:4" x14ac:dyDescent="0.45">
      <c r="A147" s="9"/>
      <c r="B147" s="10">
        <v>41944</v>
      </c>
      <c r="C147" s="52"/>
      <c r="D147" s="54"/>
    </row>
    <row r="148" spans="1:4" x14ac:dyDescent="0.45">
      <c r="A148" s="9"/>
      <c r="B148" s="11">
        <v>41913</v>
      </c>
      <c r="C148" s="51"/>
      <c r="D148" s="55"/>
    </row>
    <row r="149" spans="1:4" x14ac:dyDescent="0.45">
      <c r="A149" s="9"/>
      <c r="B149" s="10">
        <v>41883</v>
      </c>
      <c r="C149" s="52"/>
      <c r="D149" s="54"/>
    </row>
    <row r="150" spans="1:4" x14ac:dyDescent="0.45">
      <c r="A150" s="9"/>
      <c r="B150" s="11">
        <v>41852</v>
      </c>
      <c r="C150" s="51"/>
      <c r="D150" s="55"/>
    </row>
    <row r="151" spans="1:4" x14ac:dyDescent="0.45">
      <c r="A151" s="9"/>
      <c r="B151" s="10">
        <v>41821</v>
      </c>
      <c r="C151" s="52"/>
      <c r="D151" s="54"/>
    </row>
    <row r="152" spans="1:4" x14ac:dyDescent="0.45">
      <c r="A152" s="9"/>
      <c r="B152" s="11">
        <v>41791</v>
      </c>
      <c r="C152" s="51"/>
      <c r="D152" s="55"/>
    </row>
    <row r="153" spans="1:4" x14ac:dyDescent="0.45">
      <c r="A153" s="9"/>
      <c r="B153" s="10">
        <v>41760</v>
      </c>
      <c r="C153" s="52"/>
      <c r="D153" s="54"/>
    </row>
    <row r="154" spans="1:4" x14ac:dyDescent="0.45">
      <c r="A154" s="9"/>
      <c r="B154" s="11">
        <v>41730</v>
      </c>
      <c r="C154" s="51"/>
      <c r="D154" s="55"/>
    </row>
    <row r="155" spans="1:4" x14ac:dyDescent="0.45">
      <c r="A155" s="9"/>
      <c r="B155" s="10">
        <v>41699</v>
      </c>
      <c r="C155" s="52"/>
      <c r="D155" s="54"/>
    </row>
    <row r="156" spans="1:4" x14ac:dyDescent="0.45">
      <c r="A156" s="9"/>
      <c r="B156" s="11">
        <v>41671</v>
      </c>
      <c r="C156" s="51"/>
      <c r="D156" s="55"/>
    </row>
    <row r="157" spans="1:4" x14ac:dyDescent="0.45">
      <c r="A157" s="9"/>
      <c r="B157" s="10">
        <v>41640</v>
      </c>
      <c r="C157" s="52"/>
      <c r="D157" s="54"/>
    </row>
    <row r="158" spans="1:4" x14ac:dyDescent="0.45">
      <c r="A158" s="9"/>
      <c r="B158" s="11">
        <v>41609</v>
      </c>
      <c r="C158" s="51"/>
      <c r="D158" s="55"/>
    </row>
    <row r="159" spans="1:4" x14ac:dyDescent="0.45">
      <c r="A159" s="9"/>
      <c r="B159" s="10">
        <v>41579</v>
      </c>
      <c r="C159" s="52"/>
      <c r="D159" s="54"/>
    </row>
    <row r="160" spans="1:4" x14ac:dyDescent="0.45">
      <c r="A160" s="9"/>
      <c r="B160" s="11">
        <v>41548</v>
      </c>
      <c r="C160" s="51"/>
      <c r="D160" s="55"/>
    </row>
    <row r="161" spans="1:4" x14ac:dyDescent="0.45">
      <c r="A161" s="9"/>
      <c r="B161" s="10">
        <v>41518</v>
      </c>
      <c r="C161" s="52"/>
      <c r="D161" s="54"/>
    </row>
    <row r="162" spans="1:4" x14ac:dyDescent="0.45">
      <c r="A162" s="9"/>
      <c r="B162" s="11">
        <v>41487</v>
      </c>
      <c r="C162" s="51"/>
      <c r="D162" s="55"/>
    </row>
    <row r="163" spans="1:4" x14ac:dyDescent="0.45">
      <c r="A163" s="9"/>
      <c r="B163" s="10">
        <v>41456</v>
      </c>
      <c r="C163" s="52"/>
      <c r="D163" s="54"/>
    </row>
    <row r="164" spans="1:4" x14ac:dyDescent="0.45">
      <c r="A164" s="9"/>
      <c r="B164" s="11">
        <v>41426</v>
      </c>
      <c r="C164" s="51"/>
      <c r="D164" s="55"/>
    </row>
    <row r="165" spans="1:4" x14ac:dyDescent="0.45">
      <c r="A165" s="9"/>
      <c r="B165" s="10">
        <v>41395</v>
      </c>
      <c r="C165" s="52"/>
      <c r="D165" s="54"/>
    </row>
    <row r="166" spans="1:4" x14ac:dyDescent="0.45">
      <c r="A166" s="9"/>
      <c r="B166" s="11">
        <v>41365</v>
      </c>
      <c r="C166" s="51"/>
      <c r="D166" s="55"/>
    </row>
    <row r="167" spans="1:4" x14ac:dyDescent="0.45">
      <c r="A167" s="9"/>
      <c r="B167" s="10">
        <v>41334</v>
      </c>
      <c r="C167" s="52"/>
      <c r="D167" s="54"/>
    </row>
    <row r="168" spans="1:4" x14ac:dyDescent="0.45">
      <c r="A168" s="9"/>
      <c r="B168" s="11">
        <v>41306</v>
      </c>
      <c r="C168" s="51"/>
      <c r="D168" s="55"/>
    </row>
    <row r="169" spans="1:4" x14ac:dyDescent="0.45">
      <c r="A169" s="9"/>
      <c r="B169" s="10">
        <v>41275</v>
      </c>
      <c r="C169" s="52"/>
      <c r="D169" s="54"/>
    </row>
    <row r="170" spans="1:4" x14ac:dyDescent="0.45">
      <c r="A170" s="9"/>
      <c r="B170" s="11">
        <v>41244</v>
      </c>
      <c r="C170" s="51"/>
      <c r="D170" s="55"/>
    </row>
    <row r="171" spans="1:4" x14ac:dyDescent="0.45">
      <c r="A171" s="9"/>
      <c r="B171" s="10">
        <v>41214</v>
      </c>
      <c r="C171" s="52"/>
      <c r="D171" s="54"/>
    </row>
    <row r="172" spans="1:4" x14ac:dyDescent="0.45">
      <c r="A172" s="9"/>
      <c r="B172" s="11">
        <v>41183</v>
      </c>
      <c r="C172" s="51"/>
      <c r="D172" s="55"/>
    </row>
    <row r="173" spans="1:4" x14ac:dyDescent="0.45">
      <c r="A173" s="9"/>
      <c r="B173" s="10">
        <v>41153</v>
      </c>
      <c r="C173" s="52"/>
      <c r="D173" s="54"/>
    </row>
    <row r="174" spans="1:4" x14ac:dyDescent="0.45">
      <c r="A174" s="9"/>
      <c r="B174" s="11">
        <v>41122</v>
      </c>
      <c r="C174" s="51"/>
      <c r="D174" s="55"/>
    </row>
    <row r="175" spans="1:4" x14ac:dyDescent="0.45">
      <c r="A175" s="9"/>
      <c r="B175" s="10">
        <v>41091</v>
      </c>
      <c r="C175" s="52"/>
      <c r="D175" s="54"/>
    </row>
    <row r="176" spans="1:4" x14ac:dyDescent="0.45">
      <c r="A176" s="9"/>
      <c r="B176" s="11">
        <v>41061</v>
      </c>
      <c r="C176" s="51"/>
      <c r="D176" s="55"/>
    </row>
    <row r="177" spans="1:4" x14ac:dyDescent="0.45">
      <c r="A177" s="9"/>
      <c r="B177" s="10">
        <v>41030</v>
      </c>
      <c r="C177" s="52"/>
      <c r="D177" s="54"/>
    </row>
    <row r="178" spans="1:4" x14ac:dyDescent="0.45">
      <c r="A178" s="9"/>
      <c r="B178" s="11">
        <v>41000</v>
      </c>
      <c r="C178" s="51"/>
      <c r="D178" s="55"/>
    </row>
    <row r="179" spans="1:4" x14ac:dyDescent="0.45">
      <c r="A179" s="9"/>
      <c r="B179" s="10">
        <v>40969</v>
      </c>
      <c r="C179" s="52"/>
      <c r="D179" s="54"/>
    </row>
    <row r="180" spans="1:4" x14ac:dyDescent="0.45">
      <c r="A180" s="9"/>
      <c r="B180" s="11">
        <v>40940</v>
      </c>
      <c r="C180" s="51"/>
      <c r="D180" s="55"/>
    </row>
    <row r="181" spans="1:4" x14ac:dyDescent="0.45">
      <c r="A181" s="9"/>
      <c r="B181" s="10">
        <v>40909</v>
      </c>
      <c r="C181" s="52"/>
      <c r="D181" s="54"/>
    </row>
    <row r="182" spans="1:4" x14ac:dyDescent="0.45">
      <c r="A182" s="9"/>
      <c r="B182" s="11">
        <v>40878</v>
      </c>
      <c r="C182" s="51"/>
      <c r="D182" s="55"/>
    </row>
    <row r="183" spans="1:4" x14ac:dyDescent="0.45">
      <c r="A183" s="9"/>
      <c r="B183" s="10">
        <v>40848</v>
      </c>
      <c r="C183" s="52"/>
      <c r="D183" s="54"/>
    </row>
    <row r="184" spans="1:4" x14ac:dyDescent="0.45">
      <c r="A184" s="9"/>
      <c r="B184" s="11">
        <v>40817</v>
      </c>
      <c r="C184" s="51"/>
      <c r="D184" s="55"/>
    </row>
    <row r="185" spans="1:4" x14ac:dyDescent="0.45">
      <c r="A185" s="9"/>
      <c r="B185" s="10">
        <v>40787</v>
      </c>
      <c r="C185" s="52"/>
      <c r="D185" s="54"/>
    </row>
    <row r="186" spans="1:4" x14ac:dyDescent="0.45">
      <c r="A186" s="9"/>
      <c r="B186" s="11">
        <v>40756</v>
      </c>
      <c r="C186" s="51"/>
      <c r="D186" s="55"/>
    </row>
    <row r="187" spans="1:4" x14ac:dyDescent="0.45">
      <c r="A187" s="9"/>
      <c r="B187" s="10">
        <v>40725</v>
      </c>
      <c r="C187" s="52"/>
      <c r="D187" s="54"/>
    </row>
    <row r="188" spans="1:4" x14ac:dyDescent="0.45">
      <c r="A188" s="9"/>
      <c r="B188" s="11">
        <v>40695</v>
      </c>
      <c r="C188" s="51"/>
      <c r="D188" s="55"/>
    </row>
    <row r="189" spans="1:4" x14ac:dyDescent="0.45">
      <c r="A189" s="9"/>
      <c r="B189" s="10">
        <v>40664</v>
      </c>
      <c r="C189" s="52"/>
      <c r="D189" s="54"/>
    </row>
    <row r="190" spans="1:4" x14ac:dyDescent="0.45">
      <c r="A190" s="9"/>
      <c r="B190" s="11">
        <v>40634</v>
      </c>
      <c r="C190" s="51"/>
      <c r="D190" s="55"/>
    </row>
    <row r="191" spans="1:4" x14ac:dyDescent="0.45">
      <c r="A191" s="9"/>
      <c r="B191" s="10">
        <v>40603</v>
      </c>
      <c r="C191" s="52"/>
      <c r="D191" s="54"/>
    </row>
    <row r="192" spans="1:4" x14ac:dyDescent="0.45">
      <c r="A192" s="9"/>
      <c r="B192" s="11">
        <v>40575</v>
      </c>
      <c r="C192" s="51"/>
      <c r="D192" s="55"/>
    </row>
    <row r="193" spans="1:4" x14ac:dyDescent="0.45">
      <c r="A193" s="9"/>
      <c r="B193" s="10">
        <v>40544</v>
      </c>
      <c r="C193" s="52"/>
      <c r="D193" s="54"/>
    </row>
    <row r="194" spans="1:4" x14ac:dyDescent="0.45">
      <c r="A194" s="9"/>
      <c r="B194" s="11">
        <v>40513</v>
      </c>
      <c r="C194" s="51"/>
      <c r="D194" s="55"/>
    </row>
    <row r="195" spans="1:4" x14ac:dyDescent="0.45">
      <c r="A195" s="9"/>
      <c r="B195" s="10">
        <v>40483</v>
      </c>
      <c r="C195" s="52"/>
      <c r="D195" s="54"/>
    </row>
    <row r="196" spans="1:4" x14ac:dyDescent="0.45">
      <c r="A196" s="9"/>
      <c r="B196" s="11">
        <v>40452</v>
      </c>
      <c r="C196" s="51"/>
      <c r="D196" s="55"/>
    </row>
    <row r="197" spans="1:4" x14ac:dyDescent="0.45">
      <c r="A197" s="9"/>
      <c r="B197" s="10">
        <v>40422</v>
      </c>
      <c r="C197" s="52"/>
      <c r="D197" s="54"/>
    </row>
    <row r="198" spans="1:4" x14ac:dyDescent="0.45">
      <c r="A198" s="9"/>
      <c r="B198" s="11">
        <v>40391</v>
      </c>
      <c r="C198" s="51"/>
      <c r="D198" s="55"/>
    </row>
    <row r="199" spans="1:4" x14ac:dyDescent="0.45">
      <c r="A199" s="9"/>
      <c r="B199" s="10">
        <v>40360</v>
      </c>
      <c r="C199" s="52"/>
      <c r="D199" s="54"/>
    </row>
    <row r="200" spans="1:4" x14ac:dyDescent="0.45">
      <c r="A200" s="9"/>
      <c r="B200" s="11">
        <v>40330</v>
      </c>
      <c r="C200" s="51"/>
      <c r="D200" s="55"/>
    </row>
    <row r="201" spans="1:4" x14ac:dyDescent="0.45">
      <c r="A201" s="9"/>
      <c r="B201" s="10">
        <v>40299</v>
      </c>
      <c r="C201" s="52"/>
      <c r="D201" s="54"/>
    </row>
    <row r="202" spans="1:4" x14ac:dyDescent="0.45">
      <c r="A202" s="9"/>
      <c r="B202" s="11">
        <v>40269</v>
      </c>
      <c r="C202" s="51"/>
      <c r="D202" s="55"/>
    </row>
    <row r="203" spans="1:4" x14ac:dyDescent="0.45">
      <c r="A203" s="9"/>
      <c r="B203" s="10">
        <v>40238</v>
      </c>
      <c r="C203" s="52"/>
      <c r="D203" s="54"/>
    </row>
    <row r="204" spans="1:4" x14ac:dyDescent="0.45">
      <c r="A204" s="9"/>
      <c r="B204" s="11">
        <v>40210</v>
      </c>
      <c r="C204" s="51"/>
      <c r="D204" s="55"/>
    </row>
    <row r="205" spans="1:4" x14ac:dyDescent="0.45">
      <c r="A205" s="9"/>
      <c r="B205" s="10">
        <v>40179</v>
      </c>
      <c r="C205" s="52"/>
      <c r="D205" s="54"/>
    </row>
    <row r="207" spans="1:4" x14ac:dyDescent="0.45">
      <c r="B207" s="4" t="s">
        <v>5</v>
      </c>
    </row>
  </sheetData>
  <dataValidations count="1">
    <dataValidation type="list" allowBlank="1" showInputMessage="1" showErrorMessage="1" sqref="G10" xr:uid="{956300CE-E78D-416A-B358-4389211A5E69}">
      <formula1>$B$9:$D$9</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A9E5C-C640-4448-9A91-F1BC9187C7A3}">
  <dimension ref="B2:J106"/>
  <sheetViews>
    <sheetView zoomScale="85" zoomScaleNormal="85" workbookViewId="0"/>
  </sheetViews>
  <sheetFormatPr defaultRowHeight="14.25" x14ac:dyDescent="0.45"/>
  <cols>
    <col min="2" max="2" width="18.796875" customWidth="1"/>
    <col min="3" max="3" width="17" style="20" customWidth="1"/>
    <col min="4" max="4" width="15.46484375" style="20" customWidth="1"/>
    <col min="5" max="5" width="26.46484375" customWidth="1"/>
    <col min="6" max="6" width="17" customWidth="1"/>
    <col min="7" max="7" width="5.265625" customWidth="1"/>
    <col min="8" max="8" width="82.73046875" style="40" customWidth="1"/>
    <col min="9" max="9" width="35.46484375" style="40" customWidth="1"/>
    <col min="10" max="10" width="12.73046875" style="57" bestFit="1" customWidth="1"/>
    <col min="11" max="11" width="14.73046875" bestFit="1" customWidth="1"/>
    <col min="12" max="12" width="12.73046875" bestFit="1" customWidth="1"/>
    <col min="13" max="13" width="12" bestFit="1" customWidth="1"/>
    <col min="14" max="14" width="13.73046875" bestFit="1" customWidth="1"/>
    <col min="15" max="15" width="12.73046875" bestFit="1" customWidth="1"/>
    <col min="16" max="17" width="12.796875" bestFit="1" customWidth="1"/>
  </cols>
  <sheetData>
    <row r="2" spans="2:9" ht="57" x14ac:dyDescent="0.45">
      <c r="H2" s="39" t="s">
        <v>42</v>
      </c>
    </row>
    <row r="6" spans="2:9" ht="15.75" x14ac:dyDescent="0.45">
      <c r="B6" s="18" t="s">
        <v>43</v>
      </c>
      <c r="C6" s="37" t="s">
        <v>47</v>
      </c>
      <c r="D6" s="38" t="s">
        <v>44</v>
      </c>
      <c r="E6" s="18" t="s">
        <v>46</v>
      </c>
      <c r="F6" s="21" t="s">
        <v>45</v>
      </c>
      <c r="H6" s="5" t="s">
        <v>4</v>
      </c>
      <c r="I6" s="12" t="s">
        <v>3</v>
      </c>
    </row>
    <row r="7" spans="2:9" x14ac:dyDescent="0.45">
      <c r="B7">
        <v>1</v>
      </c>
      <c r="C7" s="20">
        <v>502000</v>
      </c>
      <c r="D7" s="20">
        <v>2454</v>
      </c>
      <c r="E7">
        <v>4.4000000000000004</v>
      </c>
      <c r="F7" s="20">
        <v>7</v>
      </c>
      <c r="H7" s="40" t="s">
        <v>41</v>
      </c>
    </row>
    <row r="8" spans="2:9" ht="14.65" thickBot="1" x14ac:dyDescent="0.5">
      <c r="B8">
        <v>2</v>
      </c>
      <c r="C8" s="20">
        <v>361000</v>
      </c>
      <c r="D8" s="20">
        <v>3255</v>
      </c>
      <c r="E8">
        <v>13.2</v>
      </c>
      <c r="F8" s="20">
        <v>3</v>
      </c>
    </row>
    <row r="9" spans="2:9" ht="16.149999999999999" thickBot="1" x14ac:dyDescent="0.5">
      <c r="B9">
        <v>3</v>
      </c>
      <c r="C9" s="20">
        <v>264000</v>
      </c>
      <c r="D9" s="20">
        <v>1817</v>
      </c>
      <c r="E9">
        <v>6.1</v>
      </c>
      <c r="F9" s="20">
        <v>3</v>
      </c>
      <c r="H9" s="41" t="s">
        <v>48</v>
      </c>
      <c r="I9" s="42"/>
    </row>
    <row r="10" spans="2:9" ht="16.149999999999999" thickBot="1" x14ac:dyDescent="0.5">
      <c r="B10">
        <v>4</v>
      </c>
      <c r="C10" s="20">
        <v>400000</v>
      </c>
      <c r="D10" s="20">
        <v>1828</v>
      </c>
      <c r="E10">
        <v>10.3</v>
      </c>
      <c r="F10" s="20">
        <v>7</v>
      </c>
      <c r="H10" s="41" t="s">
        <v>50</v>
      </c>
      <c r="I10" s="42"/>
    </row>
    <row r="11" spans="2:9" ht="16.149999999999999" thickBot="1" x14ac:dyDescent="0.5">
      <c r="B11">
        <v>5</v>
      </c>
      <c r="C11" s="20">
        <v>692000</v>
      </c>
      <c r="D11" s="20">
        <v>3602</v>
      </c>
      <c r="E11">
        <v>4.4000000000000004</v>
      </c>
      <c r="F11" s="20">
        <v>9</v>
      </c>
      <c r="H11" s="41" t="s">
        <v>49</v>
      </c>
      <c r="I11" s="42"/>
    </row>
    <row r="12" spans="2:9" ht="14.65" thickBot="1" x14ac:dyDescent="0.5">
      <c r="B12">
        <v>6</v>
      </c>
      <c r="C12" s="20">
        <v>633000</v>
      </c>
      <c r="D12" s="20">
        <v>3355</v>
      </c>
      <c r="E12">
        <v>4.7</v>
      </c>
      <c r="F12" s="20">
        <v>8</v>
      </c>
    </row>
    <row r="13" spans="2:9" ht="14.65" thickBot="1" x14ac:dyDescent="0.5">
      <c r="B13">
        <v>7</v>
      </c>
      <c r="C13" s="20">
        <v>611000</v>
      </c>
      <c r="D13" s="20">
        <v>2527</v>
      </c>
      <c r="E13">
        <v>8</v>
      </c>
      <c r="F13" s="20">
        <v>10</v>
      </c>
      <c r="H13" s="41" t="s">
        <v>51</v>
      </c>
      <c r="I13" s="56"/>
    </row>
    <row r="14" spans="2:9" x14ac:dyDescent="0.45">
      <c r="B14">
        <v>8</v>
      </c>
      <c r="C14" s="20">
        <v>358000</v>
      </c>
      <c r="D14" s="20">
        <v>1687</v>
      </c>
      <c r="E14">
        <v>8.3000000000000007</v>
      </c>
      <c r="F14" s="20">
        <v>6</v>
      </c>
    </row>
    <row r="15" spans="2:9" x14ac:dyDescent="0.45">
      <c r="B15">
        <v>9</v>
      </c>
      <c r="C15" s="20">
        <v>512000</v>
      </c>
      <c r="D15" s="20">
        <v>3594</v>
      </c>
      <c r="E15">
        <v>4.5</v>
      </c>
      <c r="F15" s="20">
        <v>4</v>
      </c>
    </row>
    <row r="16" spans="2:9" x14ac:dyDescent="0.45">
      <c r="B16">
        <v>10</v>
      </c>
      <c r="C16" s="20">
        <v>443000</v>
      </c>
      <c r="D16" s="20">
        <v>2690</v>
      </c>
      <c r="E16">
        <v>0.5</v>
      </c>
      <c r="F16" s="20">
        <v>3</v>
      </c>
      <c r="H16" s="40" t="s">
        <v>52</v>
      </c>
    </row>
    <row r="17" spans="2:10" x14ac:dyDescent="0.45">
      <c r="B17">
        <v>11</v>
      </c>
      <c r="C17" s="20">
        <v>313000</v>
      </c>
      <c r="D17" s="20">
        <v>2187</v>
      </c>
      <c r="E17">
        <v>4.3</v>
      </c>
      <c r="F17" s="20">
        <v>2</v>
      </c>
      <c r="H17" s="40" t="s">
        <v>53</v>
      </c>
    </row>
    <row r="18" spans="2:10" ht="14.65" thickBot="1" x14ac:dyDescent="0.5">
      <c r="B18">
        <v>12</v>
      </c>
      <c r="C18" s="20">
        <v>427000</v>
      </c>
      <c r="D18" s="20">
        <v>3574</v>
      </c>
      <c r="E18">
        <v>7.7</v>
      </c>
      <c r="F18" s="20">
        <v>2</v>
      </c>
    </row>
    <row r="19" spans="2:10" ht="14.65" thickBot="1" x14ac:dyDescent="0.5">
      <c r="B19">
        <v>13</v>
      </c>
      <c r="C19" s="20">
        <v>447000</v>
      </c>
      <c r="D19" s="20">
        <v>2095</v>
      </c>
      <c r="E19">
        <v>5.0999999999999996</v>
      </c>
      <c r="F19" s="20">
        <v>7</v>
      </c>
      <c r="H19" s="41" t="s">
        <v>54</v>
      </c>
      <c r="I19" s="43"/>
    </row>
    <row r="20" spans="2:10" ht="14.65" thickBot="1" x14ac:dyDescent="0.5">
      <c r="B20">
        <v>14</v>
      </c>
      <c r="C20" s="20">
        <v>480000</v>
      </c>
      <c r="D20" s="20">
        <v>1903</v>
      </c>
      <c r="E20">
        <v>6.8</v>
      </c>
      <c r="F20" s="20">
        <v>9</v>
      </c>
      <c r="H20" s="41" t="s">
        <v>55</v>
      </c>
      <c r="I20" s="43"/>
    </row>
    <row r="21" spans="2:10" ht="14.65" thickBot="1" x14ac:dyDescent="0.5">
      <c r="B21">
        <v>15</v>
      </c>
      <c r="C21" s="20">
        <v>397000</v>
      </c>
      <c r="D21" s="20">
        <v>2541</v>
      </c>
      <c r="E21">
        <v>6.1</v>
      </c>
      <c r="F21" s="20">
        <v>4</v>
      </c>
      <c r="H21" s="41" t="s">
        <v>56</v>
      </c>
      <c r="I21" s="43"/>
    </row>
    <row r="22" spans="2:10" x14ac:dyDescent="0.45">
      <c r="B22">
        <v>16</v>
      </c>
      <c r="C22" s="20">
        <v>432000</v>
      </c>
      <c r="D22" s="20">
        <v>2988</v>
      </c>
      <c r="E22">
        <v>0.5</v>
      </c>
      <c r="F22" s="20">
        <v>2</v>
      </c>
    </row>
    <row r="23" spans="2:10" x14ac:dyDescent="0.45">
      <c r="B23">
        <v>17</v>
      </c>
      <c r="C23" s="20">
        <v>422000</v>
      </c>
      <c r="D23" s="20">
        <v>2924</v>
      </c>
      <c r="E23">
        <v>8.5</v>
      </c>
      <c r="F23" s="20">
        <v>4</v>
      </c>
      <c r="H23" s="5" t="s">
        <v>57</v>
      </c>
      <c r="I23" s="12"/>
    </row>
    <row r="24" spans="2:10" x14ac:dyDescent="0.45">
      <c r="B24">
        <v>18</v>
      </c>
      <c r="C24" s="20">
        <v>321000</v>
      </c>
      <c r="D24" s="20">
        <v>1010</v>
      </c>
      <c r="E24">
        <v>2.7</v>
      </c>
      <c r="F24" s="20">
        <v>6</v>
      </c>
    </row>
    <row r="25" spans="2:10" ht="42.75" x14ac:dyDescent="0.45">
      <c r="B25">
        <v>19</v>
      </c>
      <c r="C25" s="20">
        <v>302000</v>
      </c>
      <c r="D25" s="20">
        <v>1684</v>
      </c>
      <c r="E25">
        <v>3</v>
      </c>
      <c r="F25" s="20">
        <v>3</v>
      </c>
      <c r="H25" s="29" t="s">
        <v>58</v>
      </c>
    </row>
    <row r="26" spans="2:10" x14ac:dyDescent="0.45">
      <c r="B26">
        <v>20</v>
      </c>
      <c r="C26" s="20">
        <v>432000</v>
      </c>
      <c r="D26" s="20">
        <v>3238</v>
      </c>
      <c r="E26">
        <v>7.4</v>
      </c>
      <c r="F26" s="20">
        <v>3</v>
      </c>
    </row>
    <row r="27" spans="2:10" ht="28.5" x14ac:dyDescent="0.45">
      <c r="B27">
        <v>21</v>
      </c>
      <c r="C27" s="20">
        <v>481000</v>
      </c>
      <c r="D27" s="20">
        <v>3504</v>
      </c>
      <c r="E27">
        <v>2.1</v>
      </c>
      <c r="F27" s="20">
        <v>3</v>
      </c>
      <c r="H27" s="29" t="s">
        <v>59</v>
      </c>
    </row>
    <row r="28" spans="2:10" x14ac:dyDescent="0.45">
      <c r="B28">
        <v>22</v>
      </c>
      <c r="C28" s="20">
        <v>136000</v>
      </c>
      <c r="D28" s="20">
        <v>1249</v>
      </c>
      <c r="E28">
        <v>6</v>
      </c>
      <c r="F28" s="20">
        <v>1</v>
      </c>
    </row>
    <row r="29" spans="2:10" x14ac:dyDescent="0.45">
      <c r="B29">
        <v>23</v>
      </c>
      <c r="C29" s="20">
        <v>552000</v>
      </c>
      <c r="D29" s="20">
        <v>2740</v>
      </c>
      <c r="E29">
        <v>1.6</v>
      </c>
      <c r="F29" s="20">
        <v>7</v>
      </c>
      <c r="H29" s="40" t="s">
        <v>60</v>
      </c>
      <c r="I29" s="44"/>
      <c r="J29" s="58" t="s">
        <v>66</v>
      </c>
    </row>
    <row r="30" spans="2:10" ht="14.65" thickBot="1" x14ac:dyDescent="0.5">
      <c r="B30">
        <v>24</v>
      </c>
      <c r="C30" s="20">
        <v>328000</v>
      </c>
      <c r="D30" s="20">
        <v>2542</v>
      </c>
      <c r="E30">
        <v>4.2</v>
      </c>
      <c r="F30" s="20">
        <v>2</v>
      </c>
    </row>
    <row r="31" spans="2:10" ht="28.9" thickBot="1" x14ac:dyDescent="0.5">
      <c r="B31">
        <v>25</v>
      </c>
      <c r="C31" s="20">
        <v>566000</v>
      </c>
      <c r="D31" s="20">
        <v>2068</v>
      </c>
      <c r="E31">
        <v>3.5</v>
      </c>
      <c r="F31" s="20">
        <v>10</v>
      </c>
      <c r="H31" s="29" t="s">
        <v>61</v>
      </c>
      <c r="I31" s="45"/>
      <c r="J31" s="58" t="s">
        <v>67</v>
      </c>
    </row>
    <row r="32" spans="2:10" x14ac:dyDescent="0.45">
      <c r="B32">
        <v>26</v>
      </c>
      <c r="C32" s="20">
        <v>463000</v>
      </c>
      <c r="D32" s="20">
        <v>2360</v>
      </c>
      <c r="E32">
        <v>3.2</v>
      </c>
      <c r="F32" s="20">
        <v>6</v>
      </c>
    </row>
    <row r="33" spans="2:10" ht="14.65" thickBot="1" x14ac:dyDescent="0.5">
      <c r="B33">
        <v>27</v>
      </c>
      <c r="C33" s="20">
        <v>581000</v>
      </c>
      <c r="D33" s="20">
        <v>2943</v>
      </c>
      <c r="E33">
        <v>1.7</v>
      </c>
      <c r="F33" s="20">
        <v>7</v>
      </c>
    </row>
    <row r="34" spans="2:10" ht="28.9" thickBot="1" x14ac:dyDescent="0.5">
      <c r="B34">
        <v>28</v>
      </c>
      <c r="C34" s="20">
        <v>450000</v>
      </c>
      <c r="D34" s="20">
        <v>4024</v>
      </c>
      <c r="E34">
        <v>4.8</v>
      </c>
      <c r="F34" s="20">
        <v>1</v>
      </c>
      <c r="H34" s="29" t="s">
        <v>62</v>
      </c>
      <c r="I34" s="46"/>
      <c r="J34" s="58" t="s">
        <v>68</v>
      </c>
    </row>
    <row r="35" spans="2:10" x14ac:dyDescent="0.45">
      <c r="B35">
        <v>29</v>
      </c>
      <c r="C35" s="20">
        <v>459000</v>
      </c>
      <c r="D35" s="20">
        <v>2614</v>
      </c>
      <c r="E35">
        <v>5.5</v>
      </c>
      <c r="F35" s="20">
        <v>5</v>
      </c>
    </row>
    <row r="36" spans="2:10" x14ac:dyDescent="0.45">
      <c r="B36">
        <v>30</v>
      </c>
      <c r="C36" s="20">
        <v>326000</v>
      </c>
      <c r="D36" s="20">
        <v>2455</v>
      </c>
      <c r="E36">
        <v>8.6999999999999993</v>
      </c>
      <c r="F36" s="20">
        <v>3</v>
      </c>
      <c r="H36" s="40" t="s">
        <v>65</v>
      </c>
    </row>
    <row r="37" spans="2:10" ht="14.65" thickBot="1" x14ac:dyDescent="0.5">
      <c r="B37">
        <v>31</v>
      </c>
      <c r="C37" s="20">
        <v>674000</v>
      </c>
      <c r="D37" s="20">
        <v>3646</v>
      </c>
      <c r="E37">
        <v>2.7</v>
      </c>
      <c r="F37" s="20">
        <v>8</v>
      </c>
    </row>
    <row r="38" spans="2:10" ht="14.65" thickBot="1" x14ac:dyDescent="0.5">
      <c r="B38">
        <v>32</v>
      </c>
      <c r="C38" s="20">
        <v>480000</v>
      </c>
      <c r="D38" s="20">
        <v>1336</v>
      </c>
      <c r="E38">
        <v>5.2</v>
      </c>
      <c r="F38" s="20">
        <v>10</v>
      </c>
      <c r="H38" s="40" t="s">
        <v>63</v>
      </c>
      <c r="I38" s="42"/>
      <c r="J38" s="58" t="s">
        <v>69</v>
      </c>
    </row>
    <row r="39" spans="2:10" ht="14.65" thickBot="1" x14ac:dyDescent="0.5">
      <c r="B39">
        <v>33</v>
      </c>
      <c r="C39" s="20">
        <v>498000</v>
      </c>
      <c r="D39" s="20">
        <v>3290</v>
      </c>
      <c r="E39">
        <v>13.8</v>
      </c>
      <c r="F39" s="20">
        <v>7</v>
      </c>
    </row>
    <row r="40" spans="2:10" ht="60.75" customHeight="1" thickBot="1" x14ac:dyDescent="0.5">
      <c r="B40">
        <v>34</v>
      </c>
      <c r="C40" s="20">
        <v>159000</v>
      </c>
      <c r="D40" s="20">
        <v>1195</v>
      </c>
      <c r="E40">
        <v>6.6</v>
      </c>
      <c r="F40" s="20">
        <v>2</v>
      </c>
      <c r="H40" s="40" t="s">
        <v>64</v>
      </c>
      <c r="I40" s="47"/>
      <c r="J40" s="58" t="s">
        <v>67</v>
      </c>
    </row>
    <row r="41" spans="2:10" x14ac:dyDescent="0.45">
      <c r="B41">
        <v>35</v>
      </c>
      <c r="C41" s="20">
        <v>283000</v>
      </c>
      <c r="D41" s="20">
        <v>2012</v>
      </c>
      <c r="E41">
        <v>6.9</v>
      </c>
      <c r="F41" s="20">
        <v>3</v>
      </c>
    </row>
    <row r="42" spans="2:10" x14ac:dyDescent="0.45">
      <c r="B42">
        <v>36</v>
      </c>
      <c r="C42" s="20">
        <v>338000</v>
      </c>
      <c r="D42" s="20">
        <v>2478</v>
      </c>
      <c r="E42">
        <v>6.7</v>
      </c>
      <c r="F42" s="20">
        <v>3</v>
      </c>
    </row>
    <row r="43" spans="2:10" x14ac:dyDescent="0.45">
      <c r="B43">
        <v>37</v>
      </c>
      <c r="C43" s="20">
        <v>592000</v>
      </c>
      <c r="D43" s="20">
        <v>3097</v>
      </c>
      <c r="E43">
        <v>0.5</v>
      </c>
      <c r="F43" s="20">
        <v>6</v>
      </c>
    </row>
    <row r="44" spans="2:10" x14ac:dyDescent="0.45">
      <c r="B44">
        <v>38</v>
      </c>
      <c r="C44" s="20">
        <v>575000</v>
      </c>
      <c r="D44" s="20">
        <v>4068</v>
      </c>
      <c r="E44">
        <v>4</v>
      </c>
      <c r="F44" s="20">
        <v>4</v>
      </c>
    </row>
    <row r="45" spans="2:10" x14ac:dyDescent="0.45">
      <c r="B45">
        <v>39</v>
      </c>
      <c r="C45" s="20">
        <v>375000</v>
      </c>
      <c r="D45" s="20">
        <v>1280</v>
      </c>
      <c r="E45">
        <v>0.5</v>
      </c>
      <c r="F45" s="20">
        <v>6</v>
      </c>
    </row>
    <row r="46" spans="2:10" x14ac:dyDescent="0.45">
      <c r="B46">
        <v>40</v>
      </c>
      <c r="C46" s="20">
        <v>423000</v>
      </c>
      <c r="D46" s="20">
        <v>3578</v>
      </c>
      <c r="E46">
        <v>8.4</v>
      </c>
      <c r="F46" s="20">
        <v>2</v>
      </c>
    </row>
    <row r="47" spans="2:10" x14ac:dyDescent="0.45">
      <c r="B47">
        <v>41</v>
      </c>
      <c r="C47" s="20">
        <v>187000</v>
      </c>
      <c r="D47" s="20">
        <v>1978</v>
      </c>
      <c r="E47">
        <v>11.8</v>
      </c>
      <c r="F47" s="20">
        <v>1</v>
      </c>
    </row>
    <row r="48" spans="2:10" x14ac:dyDescent="0.45">
      <c r="B48">
        <v>42</v>
      </c>
      <c r="C48" s="20">
        <v>324000</v>
      </c>
      <c r="D48" s="20">
        <v>995</v>
      </c>
      <c r="E48">
        <v>2.9</v>
      </c>
      <c r="F48" s="20">
        <v>6</v>
      </c>
    </row>
    <row r="49" spans="2:6" x14ac:dyDescent="0.45">
      <c r="B49">
        <v>43</v>
      </c>
      <c r="C49" s="20">
        <v>426000</v>
      </c>
      <c r="D49" s="20">
        <v>2344</v>
      </c>
      <c r="E49">
        <v>12.1</v>
      </c>
      <c r="F49" s="20">
        <v>7</v>
      </c>
    </row>
    <row r="50" spans="2:6" x14ac:dyDescent="0.45">
      <c r="B50">
        <v>44</v>
      </c>
      <c r="C50" s="20">
        <v>737000</v>
      </c>
      <c r="D50" s="20">
        <v>4168</v>
      </c>
      <c r="E50">
        <v>0.5</v>
      </c>
      <c r="F50" s="20">
        <v>7</v>
      </c>
    </row>
    <row r="51" spans="2:6" x14ac:dyDescent="0.45">
      <c r="B51">
        <v>45</v>
      </c>
      <c r="C51" s="20">
        <v>529000</v>
      </c>
      <c r="D51" s="20">
        <v>2496</v>
      </c>
      <c r="E51">
        <v>0.5</v>
      </c>
      <c r="F51" s="20">
        <v>6</v>
      </c>
    </row>
    <row r="52" spans="2:6" x14ac:dyDescent="0.45">
      <c r="B52">
        <v>46</v>
      </c>
      <c r="C52" s="20">
        <v>181000</v>
      </c>
      <c r="D52" s="20">
        <v>1179</v>
      </c>
      <c r="E52">
        <v>7.2</v>
      </c>
      <c r="F52" s="20">
        <v>3</v>
      </c>
    </row>
    <row r="53" spans="2:6" x14ac:dyDescent="0.45">
      <c r="B53">
        <v>47</v>
      </c>
      <c r="C53" s="20">
        <v>530000</v>
      </c>
      <c r="D53" s="20">
        <v>2327</v>
      </c>
      <c r="E53">
        <v>1.7</v>
      </c>
      <c r="F53" s="20">
        <v>7</v>
      </c>
    </row>
    <row r="54" spans="2:6" x14ac:dyDescent="0.45">
      <c r="B54">
        <v>48</v>
      </c>
      <c r="C54" s="20">
        <v>367000</v>
      </c>
      <c r="D54" s="20">
        <v>1742</v>
      </c>
      <c r="E54">
        <v>3</v>
      </c>
      <c r="F54" s="20">
        <v>5</v>
      </c>
    </row>
    <row r="55" spans="2:6" x14ac:dyDescent="0.45">
      <c r="B55">
        <v>49</v>
      </c>
      <c r="C55" s="20">
        <v>487000</v>
      </c>
      <c r="D55" s="20">
        <v>3476</v>
      </c>
      <c r="E55">
        <v>9.3000000000000007</v>
      </c>
      <c r="F55" s="20">
        <v>5</v>
      </c>
    </row>
    <row r="56" spans="2:6" x14ac:dyDescent="0.45">
      <c r="B56">
        <v>50</v>
      </c>
      <c r="C56" s="20">
        <v>624000</v>
      </c>
      <c r="D56" s="20">
        <v>3617</v>
      </c>
      <c r="E56">
        <v>1.1000000000000001</v>
      </c>
      <c r="F56" s="20">
        <v>6</v>
      </c>
    </row>
    <row r="57" spans="2:6" x14ac:dyDescent="0.45">
      <c r="B57">
        <v>51</v>
      </c>
      <c r="C57" s="20">
        <v>569000</v>
      </c>
      <c r="D57" s="20">
        <v>3929</v>
      </c>
      <c r="E57">
        <v>3.9</v>
      </c>
      <c r="F57" s="20">
        <v>4</v>
      </c>
    </row>
    <row r="58" spans="2:6" x14ac:dyDescent="0.45">
      <c r="B58">
        <v>52</v>
      </c>
      <c r="C58" s="20">
        <v>482000</v>
      </c>
      <c r="D58" s="20">
        <v>2013</v>
      </c>
      <c r="E58">
        <v>4.5</v>
      </c>
      <c r="F58" s="20">
        <v>8</v>
      </c>
    </row>
    <row r="59" spans="2:6" x14ac:dyDescent="0.45">
      <c r="B59">
        <v>53</v>
      </c>
      <c r="C59" s="20">
        <v>501000</v>
      </c>
      <c r="D59" s="20">
        <v>2593</v>
      </c>
      <c r="E59">
        <v>6.5</v>
      </c>
      <c r="F59" s="20">
        <v>7</v>
      </c>
    </row>
    <row r="60" spans="2:6" x14ac:dyDescent="0.45">
      <c r="B60">
        <v>54</v>
      </c>
      <c r="C60" s="20">
        <v>400000</v>
      </c>
      <c r="D60" s="20">
        <v>1085</v>
      </c>
      <c r="E60">
        <v>7.9</v>
      </c>
      <c r="F60" s="20">
        <v>9</v>
      </c>
    </row>
    <row r="61" spans="2:6" x14ac:dyDescent="0.45">
      <c r="B61">
        <v>55</v>
      </c>
      <c r="C61" s="20">
        <v>606000</v>
      </c>
      <c r="D61" s="20">
        <v>3604</v>
      </c>
      <c r="E61">
        <v>4.5999999999999996</v>
      </c>
      <c r="F61" s="20">
        <v>6</v>
      </c>
    </row>
    <row r="62" spans="2:6" x14ac:dyDescent="0.45">
      <c r="B62">
        <v>56</v>
      </c>
      <c r="C62" s="20">
        <v>454000</v>
      </c>
      <c r="D62" s="20">
        <v>2984</v>
      </c>
      <c r="E62">
        <v>0.5</v>
      </c>
      <c r="F62" s="20">
        <v>3</v>
      </c>
    </row>
    <row r="63" spans="2:6" x14ac:dyDescent="0.45">
      <c r="B63">
        <v>57</v>
      </c>
      <c r="C63" s="20">
        <v>411000</v>
      </c>
      <c r="D63" s="20">
        <v>2565</v>
      </c>
      <c r="E63">
        <v>9</v>
      </c>
      <c r="F63" s="20">
        <v>5</v>
      </c>
    </row>
    <row r="64" spans="2:6" x14ac:dyDescent="0.45">
      <c r="B64">
        <v>58</v>
      </c>
      <c r="C64" s="20">
        <v>621000</v>
      </c>
      <c r="D64" s="20">
        <v>3496</v>
      </c>
      <c r="E64">
        <v>15</v>
      </c>
      <c r="F64" s="20">
        <v>10</v>
      </c>
    </row>
    <row r="65" spans="2:6" x14ac:dyDescent="0.45">
      <c r="B65">
        <v>59</v>
      </c>
      <c r="C65" s="20">
        <v>427000</v>
      </c>
      <c r="D65" s="20">
        <v>1956</v>
      </c>
      <c r="E65">
        <v>8.3000000000000007</v>
      </c>
      <c r="F65" s="20">
        <v>7</v>
      </c>
    </row>
    <row r="66" spans="2:6" x14ac:dyDescent="0.45">
      <c r="B66">
        <v>60</v>
      </c>
      <c r="C66" s="20">
        <v>392000</v>
      </c>
      <c r="D66" s="20">
        <v>1596</v>
      </c>
      <c r="E66">
        <v>7.2</v>
      </c>
      <c r="F66" s="20">
        <v>7</v>
      </c>
    </row>
    <row r="67" spans="2:6" x14ac:dyDescent="0.45">
      <c r="B67">
        <v>61</v>
      </c>
      <c r="C67" s="20">
        <v>370000</v>
      </c>
      <c r="D67" s="20">
        <v>1609</v>
      </c>
      <c r="E67">
        <v>3.5</v>
      </c>
      <c r="F67" s="20">
        <v>6</v>
      </c>
    </row>
    <row r="68" spans="2:6" x14ac:dyDescent="0.45">
      <c r="B68">
        <v>62</v>
      </c>
      <c r="C68" s="20">
        <v>592000</v>
      </c>
      <c r="D68" s="20">
        <v>3532</v>
      </c>
      <c r="E68">
        <v>4</v>
      </c>
      <c r="F68" s="20">
        <v>6</v>
      </c>
    </row>
    <row r="69" spans="2:6" x14ac:dyDescent="0.45">
      <c r="B69">
        <v>63</v>
      </c>
      <c r="C69" s="20">
        <v>304000</v>
      </c>
      <c r="D69" s="20">
        <v>1591</v>
      </c>
      <c r="E69">
        <v>0.5</v>
      </c>
      <c r="F69" s="20">
        <v>3</v>
      </c>
    </row>
    <row r="70" spans="2:6" x14ac:dyDescent="0.45">
      <c r="B70">
        <v>64</v>
      </c>
      <c r="C70" s="20">
        <v>587000</v>
      </c>
      <c r="D70" s="20">
        <v>3491</v>
      </c>
      <c r="E70">
        <v>7.5</v>
      </c>
      <c r="F70" s="20">
        <v>7</v>
      </c>
    </row>
    <row r="71" spans="2:6" x14ac:dyDescent="0.45">
      <c r="B71">
        <v>65</v>
      </c>
      <c r="C71" s="20">
        <v>480000</v>
      </c>
      <c r="D71" s="20">
        <v>2472</v>
      </c>
      <c r="E71">
        <v>4.5</v>
      </c>
      <c r="F71" s="20">
        <v>6</v>
      </c>
    </row>
    <row r="72" spans="2:6" x14ac:dyDescent="0.45">
      <c r="B72">
        <v>66</v>
      </c>
      <c r="C72" s="20">
        <v>107000</v>
      </c>
      <c r="D72" s="20">
        <v>814</v>
      </c>
      <c r="E72">
        <v>10.199999999999999</v>
      </c>
      <c r="F72" s="20">
        <v>2</v>
      </c>
    </row>
    <row r="73" spans="2:6" x14ac:dyDescent="0.45">
      <c r="B73">
        <v>67</v>
      </c>
      <c r="C73" s="20">
        <v>470000</v>
      </c>
      <c r="D73" s="20">
        <v>2978</v>
      </c>
      <c r="E73">
        <v>0.9</v>
      </c>
      <c r="F73" s="20">
        <v>4</v>
      </c>
    </row>
    <row r="74" spans="2:6" x14ac:dyDescent="0.45">
      <c r="B74">
        <v>68</v>
      </c>
      <c r="C74" s="20">
        <v>422000</v>
      </c>
      <c r="D74" s="20">
        <v>2938</v>
      </c>
      <c r="E74">
        <v>10.5</v>
      </c>
      <c r="F74" s="20">
        <v>5</v>
      </c>
    </row>
    <row r="75" spans="2:6" x14ac:dyDescent="0.45">
      <c r="B75">
        <v>69</v>
      </c>
      <c r="C75" s="20">
        <v>592000</v>
      </c>
      <c r="D75" s="20">
        <v>2893</v>
      </c>
      <c r="E75">
        <v>3.8</v>
      </c>
      <c r="F75" s="20">
        <v>8</v>
      </c>
    </row>
    <row r="76" spans="2:6" x14ac:dyDescent="0.45">
      <c r="B76">
        <v>70</v>
      </c>
      <c r="C76" s="20">
        <v>475000</v>
      </c>
      <c r="D76" s="20">
        <v>1880</v>
      </c>
      <c r="E76">
        <v>2.6</v>
      </c>
      <c r="F76" s="20">
        <v>7</v>
      </c>
    </row>
    <row r="77" spans="2:6" x14ac:dyDescent="0.45">
      <c r="B77">
        <v>71</v>
      </c>
      <c r="C77" s="20">
        <v>663000</v>
      </c>
      <c r="D77" s="20">
        <v>3095</v>
      </c>
      <c r="E77">
        <v>3.1</v>
      </c>
      <c r="F77" s="20">
        <v>9</v>
      </c>
    </row>
    <row r="78" spans="2:6" x14ac:dyDescent="0.45">
      <c r="B78">
        <v>72</v>
      </c>
      <c r="C78" s="20">
        <v>204000</v>
      </c>
      <c r="D78" s="20">
        <v>1620</v>
      </c>
      <c r="E78">
        <v>2.6</v>
      </c>
      <c r="F78" s="20">
        <v>1</v>
      </c>
    </row>
    <row r="79" spans="2:6" x14ac:dyDescent="0.45">
      <c r="B79">
        <v>73</v>
      </c>
      <c r="C79" s="20">
        <v>636000</v>
      </c>
      <c r="D79" s="20">
        <v>4102</v>
      </c>
      <c r="E79">
        <v>0.5</v>
      </c>
      <c r="F79" s="20">
        <v>5</v>
      </c>
    </row>
    <row r="80" spans="2:6" x14ac:dyDescent="0.45">
      <c r="B80">
        <v>74</v>
      </c>
      <c r="C80" s="20">
        <v>322000</v>
      </c>
      <c r="D80" s="20">
        <v>3177</v>
      </c>
      <c r="E80">
        <v>7.6</v>
      </c>
      <c r="F80" s="20">
        <v>1</v>
      </c>
    </row>
    <row r="81" spans="2:6" x14ac:dyDescent="0.45">
      <c r="B81">
        <v>75</v>
      </c>
      <c r="C81" s="20">
        <v>411000</v>
      </c>
      <c r="D81" s="20">
        <v>2507</v>
      </c>
      <c r="E81">
        <v>8.1</v>
      </c>
      <c r="F81" s="20">
        <v>5</v>
      </c>
    </row>
    <row r="82" spans="2:6" x14ac:dyDescent="0.45">
      <c r="B82">
        <v>76</v>
      </c>
      <c r="C82" s="20">
        <v>650000</v>
      </c>
      <c r="D82" s="20">
        <v>3082</v>
      </c>
      <c r="E82">
        <v>10.1</v>
      </c>
      <c r="F82" s="20">
        <v>10</v>
      </c>
    </row>
    <row r="83" spans="2:6" x14ac:dyDescent="0.45">
      <c r="B83">
        <v>77</v>
      </c>
      <c r="C83" s="20">
        <v>306000</v>
      </c>
      <c r="D83" s="20">
        <v>2009</v>
      </c>
      <c r="E83">
        <v>7.8</v>
      </c>
      <c r="F83" s="20">
        <v>4</v>
      </c>
    </row>
    <row r="84" spans="2:6" x14ac:dyDescent="0.45">
      <c r="B84">
        <v>78</v>
      </c>
      <c r="C84" s="20">
        <v>657000</v>
      </c>
      <c r="D84" s="20">
        <v>4050</v>
      </c>
      <c r="E84">
        <v>7.6</v>
      </c>
      <c r="F84" s="20">
        <v>7</v>
      </c>
    </row>
    <row r="85" spans="2:6" x14ac:dyDescent="0.45">
      <c r="B85">
        <v>79</v>
      </c>
      <c r="C85" s="20">
        <v>568000</v>
      </c>
      <c r="D85" s="20">
        <v>4032</v>
      </c>
      <c r="E85">
        <v>0.5</v>
      </c>
      <c r="F85" s="20">
        <v>3</v>
      </c>
    </row>
    <row r="86" spans="2:6" x14ac:dyDescent="0.45">
      <c r="B86">
        <v>80</v>
      </c>
      <c r="C86" s="20">
        <v>474000</v>
      </c>
      <c r="D86" s="20">
        <v>2687</v>
      </c>
      <c r="E86">
        <v>5.7</v>
      </c>
      <c r="F86" s="20">
        <v>6</v>
      </c>
    </row>
    <row r="87" spans="2:6" x14ac:dyDescent="0.45">
      <c r="B87">
        <v>81</v>
      </c>
      <c r="C87" s="20">
        <v>467000</v>
      </c>
      <c r="D87" s="20">
        <v>1335</v>
      </c>
      <c r="E87">
        <v>0.5</v>
      </c>
      <c r="F87" s="20">
        <v>8</v>
      </c>
    </row>
    <row r="88" spans="2:6" x14ac:dyDescent="0.45">
      <c r="B88">
        <v>82</v>
      </c>
      <c r="C88" s="20">
        <v>585000</v>
      </c>
      <c r="D88" s="20">
        <v>2512</v>
      </c>
      <c r="E88">
        <v>3.9</v>
      </c>
      <c r="F88" s="20">
        <v>9</v>
      </c>
    </row>
    <row r="89" spans="2:6" x14ac:dyDescent="0.45">
      <c r="B89">
        <v>83</v>
      </c>
      <c r="C89" s="20">
        <v>351000</v>
      </c>
      <c r="D89" s="20">
        <v>2273</v>
      </c>
      <c r="E89">
        <v>10.6</v>
      </c>
      <c r="F89" s="20">
        <v>5</v>
      </c>
    </row>
    <row r="90" spans="2:6" x14ac:dyDescent="0.45">
      <c r="B90">
        <v>84</v>
      </c>
      <c r="C90" s="20">
        <v>499000</v>
      </c>
      <c r="D90" s="20">
        <v>1920</v>
      </c>
      <c r="E90">
        <v>5.0999999999999996</v>
      </c>
      <c r="F90" s="20">
        <v>8</v>
      </c>
    </row>
    <row r="91" spans="2:6" x14ac:dyDescent="0.45">
      <c r="B91">
        <v>85</v>
      </c>
      <c r="C91" s="20">
        <v>669000</v>
      </c>
      <c r="D91" s="20">
        <v>3666</v>
      </c>
      <c r="E91">
        <v>0.5</v>
      </c>
      <c r="F91" s="20">
        <v>7</v>
      </c>
    </row>
    <row r="92" spans="2:6" x14ac:dyDescent="0.45">
      <c r="B92">
        <v>86</v>
      </c>
      <c r="C92" s="20">
        <v>783000</v>
      </c>
      <c r="D92" s="20">
        <v>4186</v>
      </c>
      <c r="E92">
        <v>1</v>
      </c>
      <c r="F92" s="20">
        <v>8</v>
      </c>
    </row>
    <row r="93" spans="2:6" x14ac:dyDescent="0.45">
      <c r="B93">
        <v>87</v>
      </c>
      <c r="C93" s="20">
        <v>651000</v>
      </c>
      <c r="D93" s="20">
        <v>3363</v>
      </c>
      <c r="E93">
        <v>2.7</v>
      </c>
      <c r="F93" s="20">
        <v>8</v>
      </c>
    </row>
    <row r="94" spans="2:6" x14ac:dyDescent="0.45">
      <c r="B94">
        <v>88</v>
      </c>
      <c r="C94" s="20">
        <v>435000</v>
      </c>
      <c r="D94" s="20">
        <v>1106</v>
      </c>
      <c r="E94">
        <v>4.0999999999999996</v>
      </c>
      <c r="F94" s="20">
        <v>9</v>
      </c>
    </row>
    <row r="95" spans="2:6" x14ac:dyDescent="0.45">
      <c r="B95">
        <v>89</v>
      </c>
      <c r="C95" s="20">
        <v>546000</v>
      </c>
      <c r="D95" s="20">
        <v>2683</v>
      </c>
      <c r="E95">
        <v>8.8000000000000007</v>
      </c>
      <c r="F95" s="20">
        <v>9</v>
      </c>
    </row>
    <row r="96" spans="2:6" x14ac:dyDescent="0.45">
      <c r="B96">
        <v>90</v>
      </c>
      <c r="C96" s="20">
        <v>320000</v>
      </c>
      <c r="D96" s="20">
        <v>1270</v>
      </c>
      <c r="E96">
        <v>8.3000000000000007</v>
      </c>
      <c r="F96" s="20">
        <v>6</v>
      </c>
    </row>
    <row r="97" spans="2:6" x14ac:dyDescent="0.45">
      <c r="B97">
        <v>91</v>
      </c>
      <c r="C97" s="20">
        <v>270000</v>
      </c>
      <c r="D97" s="20">
        <v>1095</v>
      </c>
      <c r="E97">
        <v>8.1999999999999993</v>
      </c>
      <c r="F97" s="20">
        <v>6</v>
      </c>
    </row>
    <row r="98" spans="2:6" x14ac:dyDescent="0.45">
      <c r="B98">
        <v>92</v>
      </c>
      <c r="C98" s="20">
        <v>639000</v>
      </c>
      <c r="D98" s="20">
        <v>3133</v>
      </c>
      <c r="E98">
        <v>5.9</v>
      </c>
      <c r="F98" s="20">
        <v>9</v>
      </c>
    </row>
    <row r="99" spans="2:6" x14ac:dyDescent="0.45">
      <c r="B99">
        <v>93</v>
      </c>
      <c r="C99" s="20">
        <v>416000</v>
      </c>
      <c r="D99" s="20">
        <v>3394</v>
      </c>
      <c r="E99">
        <v>3.8</v>
      </c>
      <c r="F99" s="20">
        <v>1</v>
      </c>
    </row>
    <row r="100" spans="2:6" x14ac:dyDescent="0.45">
      <c r="B100">
        <v>94</v>
      </c>
      <c r="C100" s="20">
        <v>476000</v>
      </c>
      <c r="D100" s="20">
        <v>2106</v>
      </c>
      <c r="E100">
        <v>3.6</v>
      </c>
      <c r="F100" s="20">
        <v>7</v>
      </c>
    </row>
    <row r="101" spans="2:6" x14ac:dyDescent="0.45">
      <c r="B101">
        <v>95</v>
      </c>
      <c r="C101" s="20">
        <v>255000</v>
      </c>
      <c r="D101" s="20">
        <v>1479</v>
      </c>
      <c r="E101">
        <v>6.7</v>
      </c>
      <c r="F101" s="20">
        <v>3</v>
      </c>
    </row>
    <row r="102" spans="2:6" x14ac:dyDescent="0.45">
      <c r="B102">
        <v>96</v>
      </c>
      <c r="C102" s="20">
        <v>293000</v>
      </c>
      <c r="D102" s="20">
        <v>994</v>
      </c>
      <c r="E102">
        <v>8.6999999999999993</v>
      </c>
      <c r="F102" s="20">
        <v>7</v>
      </c>
    </row>
    <row r="103" spans="2:6" x14ac:dyDescent="0.45">
      <c r="B103">
        <v>97</v>
      </c>
      <c r="C103" s="20">
        <v>264000</v>
      </c>
      <c r="D103" s="20">
        <v>995</v>
      </c>
      <c r="E103">
        <v>11.2</v>
      </c>
      <c r="F103" s="20">
        <v>6</v>
      </c>
    </row>
    <row r="104" spans="2:6" x14ac:dyDescent="0.45">
      <c r="B104">
        <v>98</v>
      </c>
      <c r="C104" s="20">
        <v>495000</v>
      </c>
      <c r="D104" s="20">
        <v>1741</v>
      </c>
      <c r="E104">
        <v>5.4</v>
      </c>
      <c r="F104" s="20">
        <v>9</v>
      </c>
    </row>
    <row r="105" spans="2:6" x14ac:dyDescent="0.45">
      <c r="B105">
        <v>99</v>
      </c>
      <c r="C105" s="20">
        <v>404000</v>
      </c>
      <c r="D105" s="20">
        <v>1449</v>
      </c>
      <c r="E105">
        <v>6.2</v>
      </c>
      <c r="F105" s="20">
        <v>8</v>
      </c>
    </row>
    <row r="106" spans="2:6" x14ac:dyDescent="0.45">
      <c r="B106">
        <v>100</v>
      </c>
      <c r="C106" s="20">
        <v>571000</v>
      </c>
      <c r="D106" s="20">
        <v>3648</v>
      </c>
      <c r="E106">
        <v>10.9</v>
      </c>
      <c r="F106" s="20">
        <v>7</v>
      </c>
    </row>
  </sheetData>
  <dataValidations count="2">
    <dataValidation type="list" allowBlank="1" showInputMessage="1" showErrorMessage="1" sqref="I13" xr:uid="{B0F08E0E-6D98-41DD-A64A-573595806411}">
      <formula1>$D$6:$F$6</formula1>
    </dataValidation>
    <dataValidation type="list" allowBlank="1" showInputMessage="1" showErrorMessage="1" sqref="I38" xr:uid="{965FCF26-A4B6-4798-A077-6237C40DC93E}">
      <formula1>"Nominal, Ordinal, Interval, Ratio"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B2388-8617-4507-AE93-56CCFC2C84AF}">
  <dimension ref="B2:B7"/>
  <sheetViews>
    <sheetView zoomScale="175" zoomScaleNormal="175" workbookViewId="0">
      <selection activeCell="B15" sqref="B15"/>
    </sheetView>
  </sheetViews>
  <sheetFormatPr defaultRowHeight="14.25" x14ac:dyDescent="0.45"/>
  <cols>
    <col min="2" max="2" width="97.73046875" bestFit="1" customWidth="1"/>
  </cols>
  <sheetData>
    <row r="2" spans="2:2" ht="228" x14ac:dyDescent="0.45">
      <c r="B2" s="8" t="s">
        <v>77</v>
      </c>
    </row>
    <row r="3" spans="2:2" ht="14.65" thickBot="1" x14ac:dyDescent="0.5"/>
    <row r="4" spans="2:2" ht="80" customHeight="1" thickBot="1" x14ac:dyDescent="0.5">
      <c r="B4" s="13"/>
    </row>
    <row r="6" spans="2:2" x14ac:dyDescent="0.45">
      <c r="B6" s="48" t="s">
        <v>70</v>
      </c>
    </row>
    <row r="7" spans="2:2" x14ac:dyDescent="0.45">
      <c r="B7" s="49" t="s">
        <v>72</v>
      </c>
    </row>
  </sheetData>
  <hyperlinks>
    <hyperlink ref="B7" r:id="rId1" xr:uid="{92C6A242-B7B0-4089-97A7-5E9F5EB314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Ad Spend v. Revenue</vt:lpstr>
      <vt:lpstr>Employment v. Sales</vt:lpstr>
      <vt:lpstr>Real Estate</vt:lpstr>
      <vt:lpstr>End here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Holloway</dc:creator>
  <cp:lastModifiedBy>Russell Holloway</cp:lastModifiedBy>
  <dcterms:created xsi:type="dcterms:W3CDTF">2026-05-15T01:30:07Z</dcterms:created>
  <dcterms:modified xsi:type="dcterms:W3CDTF">2026-08-05T00:47:40Z</dcterms:modified>
</cp:coreProperties>
</file>