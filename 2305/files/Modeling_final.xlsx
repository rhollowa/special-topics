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tart Here" sheetId="1" state="visible" r:id="rId3"/>
    <sheet name="Ad Spend v. Revenue" sheetId="2" state="visible" r:id="rId4"/>
    <sheet name="Employment v. Sales" sheetId="3" state="visible" r:id="rId5"/>
    <sheet name="Real Estate" sheetId="4" state="visible" r:id="rId6"/>
    <sheet name="End her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<sst xmlns="http://schemas.openxmlformats.org/spreadsheetml/2006/main" count="148" uniqueCount="111">
  <si>
    <t xml:space="preserve">Name:</t>
  </si>
  <si>
    <t xml:space="preserve">Instructions:</t>
  </si>
  <si>
    <t xml:space="preserve">You're looking at ways to beef up the revenue at your company. The ad spend seems to be driving the bulk of revenue to date, but you want to dig in to see what impact it's having. Use the data provided to answer the questions about how those two values relate.</t>
  </si>
  <si>
    <t xml:space="preserve">Month</t>
  </si>
  <si>
    <t xml:space="preserve">Ad Spend ($)</t>
  </si>
  <si>
    <t xml:space="preserve">Revenue ($)</t>
  </si>
  <si>
    <t xml:space="preserve">Questions:</t>
  </si>
  <si>
    <t xml:space="preserve">Answers:</t>
  </si>
  <si>
    <t xml:space="preserve">&lt;&lt;&lt; expand to see the full data set</t>
  </si>
  <si>
    <t xml:space="preserve">What was the revenue generated in these years?</t>
  </si>
  <si>
    <t xml:space="preserve">vvv- drop answers in here, use formulas please, no hardcoding -vvv</t>
  </si>
  <si>
    <t xml:space="preserve">What was the YoY growth in revenue during this time period?</t>
  </si>
  <si>
    <t xml:space="preserve">What could you say about the correlation of these two metrics?</t>
  </si>
  <si>
    <t xml:space="preserve">&lt;&lt;&lt; Value</t>
  </si>
  <si>
    <t xml:space="preserve">strong positive correlation, increases/decreases in Ad Spend are highly correleated w i/d in Revenue</t>
  </si>
  <si>
    <t xml:space="preserve">&lt;&lt;&lt; What that value means</t>
  </si>
  <si>
    <t xml:space="preserve">To what extent can increases/decreases in revenue be explained by changes in the ad spend?</t>
  </si>
  <si>
    <t xml:space="preserve">&lt;&lt;&lt; give answer in % please</t>
  </si>
  <si>
    <t xml:space="preserve">If you increased the Ad spend by $1, how much could you expect revenue to increase by?</t>
  </si>
  <si>
    <t xml:space="preserve">&lt;&lt;&lt; β</t>
  </si>
  <si>
    <t xml:space="preserve">If nothing was spent on Ads at all- $0 - how much revenue would you expect to bring in?</t>
  </si>
  <si>
    <t xml:space="preserve">&lt;&lt;&lt; α</t>
  </si>
  <si>
    <t xml:space="preserve">For 2026, the Ad Spend amount will be the 2025 amount with the YoY growth rate applied to it.</t>
  </si>
  <si>
    <t xml:space="preserve">Fill in the rest of the table with the correct ad spend amount and your prediction about what revenue should be realized for each month.</t>
  </si>
  <si>
    <t xml:space="preserve">Of that 2025 ad spend  +8% , 60% will be spent evenly during the summer months: June, July, &amp; August</t>
  </si>
  <si>
    <t xml:space="preserve">The remaining 40% will be spent evenly across the rest of the months of the year.</t>
  </si>
  <si>
    <t xml:space="preserve">What would the ad spend have to be to get to a revenue of $1mm?</t>
  </si>
  <si>
    <t xml:space="preserve">You're interested in finding to what extent reducing unemployment stimulates the economy. Since 2/3 of the US economy relies on consumer spending, you want to see how much more is generated in retail sales in various employment scenarios</t>
  </si>
  <si>
    <t xml:space="preserve">Use data from FRED or BLS to populate the chart below and answer the questions using what you know about data collection and regression analysis.</t>
  </si>
  <si>
    <t xml:space="preserve">Download the unemployment rate (unrate) and the advance retail sales (rsxfs) from the FRED (or BLS) website.</t>
  </si>
  <si>
    <t xml:space="preserve">Clean the data (normalize the numbers so the right values show for the right dates) to match up with the dates in column B.</t>
  </si>
  <si>
    <t xml:space="preserve">Date</t>
  </si>
  <si>
    <t xml:space="preserve">Unemployment Rate (%)</t>
  </si>
  <si>
    <t xml:space="preserve">Retail Sales ($B)</t>
  </si>
  <si>
    <t xml:space="preserve">What is the independent variable?</t>
  </si>
  <si>
    <t xml:space="preserve">Unemployment Rate</t>
  </si>
  <si>
    <t xml:space="preserve">SUMMARY OUTPUT</t>
  </si>
  <si>
    <t xml:space="preserve">What is the dependent variable?</t>
  </si>
  <si>
    <t xml:space="preserve">Retail Sales</t>
  </si>
  <si>
    <t xml:space="preserve">Regression Statistics</t>
  </si>
  <si>
    <t xml:space="preserve">Multiple R</t>
  </si>
  <si>
    <t xml:space="preserve">What is the correlation coefficient of this data?</t>
  </si>
  <si>
    <t xml:space="preserve">R Square</t>
  </si>
  <si>
    <t xml:space="preserve">Adjusted R Square</t>
  </si>
  <si>
    <r>
      <rPr>
        <sz val="11"/>
        <color theme="1"/>
        <rFont val="Aptos Narrow"/>
        <family val="2"/>
        <charset val="1"/>
      </rPr>
      <t xml:space="preserve">What is the R</t>
    </r>
    <r>
      <rPr>
        <vertAlign val="superscript"/>
        <sz val="11"/>
        <color theme="1"/>
        <rFont val="Aptos Narrow"/>
        <family val="2"/>
        <charset val="1"/>
      </rPr>
      <t xml:space="preserve">2</t>
    </r>
    <r>
      <rPr>
        <sz val="11"/>
        <color theme="1"/>
        <rFont val="Aptos Narrow"/>
        <family val="2"/>
        <charset val="1"/>
      </rPr>
      <t xml:space="preserve"> of the data?</t>
    </r>
  </si>
  <si>
    <t xml:space="preserve">Standard Error</t>
  </si>
  <si>
    <t xml:space="preserve">Observations</t>
  </si>
  <si>
    <t xml:space="preserve">What is the β of  the regression equation?</t>
  </si>
  <si>
    <t xml:space="preserve">ANOVA</t>
  </si>
  <si>
    <t xml:space="preserve">What is the α of the regression line?</t>
  </si>
  <si>
    <t xml:space="preserve">df</t>
  </si>
  <si>
    <t xml:space="preserve">SS</t>
  </si>
  <si>
    <t xml:space="preserve">MS</t>
  </si>
  <si>
    <t xml:space="preserve">F</t>
  </si>
  <si>
    <t xml:space="preserve">Significance F</t>
  </si>
  <si>
    <t xml:space="preserve">Regression</t>
  </si>
  <si>
    <t xml:space="preserve">What is your prediction for retail sales if the unemployment rate were to hit 3% (in $B)?</t>
  </si>
  <si>
    <t xml:space="preserve">Residual</t>
  </si>
  <si>
    <t xml:space="preserve">Total</t>
  </si>
  <si>
    <t xml:space="preserve">What is your prediction for retail sales if the unemployment rate were to hit 2% (in $B)?</t>
  </si>
  <si>
    <t xml:space="preserve">Coefficients</t>
  </si>
  <si>
    <t xml:space="preserve">t Stat</t>
  </si>
  <si>
    <t xml:space="preserve">P-value</t>
  </si>
  <si>
    <t xml:space="preserve">Lower 95%</t>
  </si>
  <si>
    <t xml:space="preserve">Upper 95%</t>
  </si>
  <si>
    <t xml:space="preserve">Lower 95.0%</t>
  </si>
  <si>
    <t xml:space="preserve">Upper 95.0%</t>
  </si>
  <si>
    <t xml:space="preserve">Explain any gap(s) in the FRED data. If there is anything missing, offer an explanation for why that is.</t>
  </si>
  <si>
    <t xml:space="preserve">Government shutdown</t>
  </si>
  <si>
    <t xml:space="preserve">Intercept</t>
  </si>
  <si>
    <t xml:space="preserve">Perform a regression analysis (using the data analysis tool), and drop the output in cell i10. * remember to take note of decimals v percents</t>
  </si>
  <si>
    <r>
      <rPr>
        <sz val="11"/>
        <color theme="1"/>
        <rFont val="Aptos Narrow"/>
        <family val="2"/>
        <charset val="1"/>
      </rPr>
      <t xml:space="preserve">Create a scatter plot of the data you collected. Include the trendline, trendline, trendline equation and the R</t>
    </r>
    <r>
      <rPr>
        <vertAlign val="superscript"/>
        <sz val="11"/>
        <color theme="1"/>
        <rFont val="Aptos Narrow"/>
        <family val="2"/>
        <charset val="1"/>
      </rPr>
      <t xml:space="preserve">2</t>
    </r>
    <r>
      <rPr>
        <sz val="11"/>
        <color theme="1"/>
        <rFont val="Aptos Narrow"/>
        <family val="2"/>
        <charset val="1"/>
      </rPr>
      <t xml:space="preserve">  value. Drop the chart to the right of this question, please.</t>
    </r>
  </si>
  <si>
    <t xml:space="preserve">Should unemployment be used as a proxy for consumer sales?</t>
  </si>
  <si>
    <t xml:space="preserve">No</t>
  </si>
  <si>
    <t xml:space="preserve">Sources: U.S. Bureau of Labor Statistics — Unemployment Rate (UNRATE), FRED  ·  U.S. Census Bureau — Advance Retail Sales (RSXFS), FRED</t>
  </si>
  <si>
    <t xml:space="preserve">You're building a website for homeowners to use that will calculate a likely sales price for their home based on a number of inputs they provide. You want to know how many inputs will suffice to create a reliable valuation model. Start with the data you already have organized below, and answer the questions about impacts to the sales price.</t>
  </si>
  <si>
    <t xml:space="preserve">House ID</t>
  </si>
  <si>
    <t xml:space="preserve">Sale price</t>
  </si>
  <si>
    <r>
      <rPr>
        <b val="true"/>
        <sz val="11"/>
        <color rgb="FFFFFFFF"/>
        <rFont val="Aptos Narrow"/>
        <family val="2"/>
        <charset val="1"/>
      </rPr>
      <t xml:space="preserve">Area (ft</t>
    </r>
    <r>
      <rPr>
        <b val="true"/>
        <vertAlign val="superscript"/>
        <sz val="11"/>
        <color rgb="FFFFFFFF"/>
        <rFont val="Aptos Narrow"/>
        <family val="2"/>
        <charset val="1"/>
      </rPr>
      <t xml:space="preserve">2</t>
    </r>
    <r>
      <rPr>
        <b val="true"/>
        <sz val="11"/>
        <color rgb="FFFFFFFF"/>
        <rFont val="Aptos Narrow"/>
        <family val="2"/>
        <charset val="1"/>
      </rPr>
      <t xml:space="preserve">)</t>
    </r>
  </si>
  <si>
    <t xml:space="preserve">Distance from city center</t>
  </si>
  <si>
    <t xml:space="preserve">ISD Rating</t>
  </si>
  <si>
    <t xml:space="preserve">How much of the variation in the home price is explained by changes in each independent variable?</t>
  </si>
  <si>
    <r>
      <rPr>
        <sz val="11"/>
        <color theme="1"/>
        <rFont val="Aptos Narrow"/>
        <family val="2"/>
        <charset val="1"/>
      </rPr>
      <t xml:space="preserve">R</t>
    </r>
    <r>
      <rPr>
        <vertAlign val="superscript"/>
        <sz val="11"/>
        <color theme="1"/>
        <rFont val="Aptos Narrow"/>
        <family val="2"/>
        <charset val="1"/>
      </rPr>
      <t xml:space="preserve">2</t>
    </r>
    <r>
      <rPr>
        <sz val="11"/>
        <color theme="1"/>
        <rFont val="Aptos Narrow"/>
        <family val="2"/>
        <charset val="1"/>
      </rPr>
      <t xml:space="preserve"> (size) ?</t>
    </r>
  </si>
  <si>
    <r>
      <rPr>
        <sz val="11"/>
        <color theme="1"/>
        <rFont val="Aptos Narrow"/>
        <family val="2"/>
        <charset val="1"/>
      </rPr>
      <t xml:space="preserve">R</t>
    </r>
    <r>
      <rPr>
        <vertAlign val="superscript"/>
        <sz val="11"/>
        <color theme="1"/>
        <rFont val="Aptos Narrow"/>
        <family val="2"/>
        <charset val="1"/>
      </rPr>
      <t xml:space="preserve">2</t>
    </r>
    <r>
      <rPr>
        <sz val="11"/>
        <color theme="1"/>
        <rFont val="Aptos Narrow"/>
        <family val="2"/>
        <charset val="1"/>
      </rPr>
      <t xml:space="preserve"> (proximity to downtown) ?</t>
    </r>
  </si>
  <si>
    <r>
      <rPr>
        <sz val="11"/>
        <color theme="1"/>
        <rFont val="Aptos Narrow"/>
        <family val="2"/>
        <charset val="1"/>
      </rPr>
      <t xml:space="preserve">R</t>
    </r>
    <r>
      <rPr>
        <vertAlign val="superscript"/>
        <sz val="11"/>
        <color theme="1"/>
        <rFont val="Aptos Narrow"/>
        <family val="2"/>
        <charset val="1"/>
      </rPr>
      <t xml:space="preserve">2</t>
    </r>
    <r>
      <rPr>
        <sz val="11"/>
        <color theme="1"/>
        <rFont val="Aptos Narrow"/>
        <family val="2"/>
        <charset val="1"/>
      </rPr>
      <t xml:space="preserve"> (ISD rating) ?</t>
    </r>
  </si>
  <si>
    <t xml:space="preserve">Which is the most important to include in your model?</t>
  </si>
  <si>
    <t xml:space="preserve">Area (ft2)</t>
  </si>
  <si>
    <t xml:space="preserve">What does an incremental change in each variable do to the price of the home?</t>
  </si>
  <si>
    <t xml:space="preserve">I.e., how much does the price of the home change (+/-) for each of the following situations?</t>
  </si>
  <si>
    <t xml:space="preserve">Area increases by one square foot</t>
  </si>
  <si>
    <t xml:space="preserve">House is one mile farther from downtown</t>
  </si>
  <si>
    <t xml:space="preserve">ISD where home is located is rated one point higher</t>
  </si>
  <si>
    <t xml:space="preserve">Extra credit:</t>
  </si>
  <si>
    <t xml:space="preserve">There's not one single variable that impacts the dependent variable in this case. Two houses that are the same size and distance from the center of town may be in different school districts and, thus, may be priced differently.</t>
  </si>
  <si>
    <t xml:space="preserve">For this piece, I want you to run the regression using multiple independent variable. Use the data analysis add-in and select all of the independent variables in the data set for the multi-variable regression.</t>
  </si>
  <si>
    <t xml:space="preserve">Run the regression, and output the results in k24</t>
  </si>
  <si>
    <t xml:space="preserve">+5pts</t>
  </si>
  <si>
    <t xml:space="preserve">if y is the Sales Price, x1 is Area, x2 is Distance, and x3 is ISD, what would the regression equation be based on the regression statistics from the data analysis output?</t>
  </si>
  <si>
    <t xml:space="preserve">y = 109x1 - 9240x2 + 35862x3 + 28569</t>
  </si>
  <si>
    <t xml:space="preserve">+10pts</t>
  </si>
  <si>
    <t xml:space="preserve">What would you estimate a home to cost that is 2000 square feet, 5 miles from the city center, in a school district rated 8?</t>
  </si>
  <si>
    <t xml:space="preserve">+3pts</t>
  </si>
  <si>
    <t xml:space="preserve">Answer these last two questions related to handling non-quantitative data:</t>
  </si>
  <si>
    <t xml:space="preserve">What kind of data is zip code?</t>
  </si>
  <si>
    <t xml:space="preserve">Nominal</t>
  </si>
  <si>
    <t xml:space="preserve">+2pt</t>
  </si>
  <si>
    <t xml:space="preserve">How could you incorporate that data for a town with two zip codes?</t>
  </si>
  <si>
    <t xml:space="preserve">Two columns, binary values for each, 1 for houses in zip code a (one column) and zero for the other zip code (second column). Vice versa for the others.</t>
  </si>
  <si>
    <t xml:space="preserve">Thank you all for your contributions in class. I really hope this course wasn't too stressful. I've really been on a mission this semester to reimagine the curriculum in the courses I teach in a way that maximizes your vocational skill set. This sometimes means taking a lot of liberties with the tools and techniques I use to teach, and also means building the bridge as we drive over it. I hope I didn't stress you all out too much learning business statistics in fits and jerks; it certainly wasn't my intention to do so. 
What I did intend to do was communicate the elements of this course I know to be useful in the corporate world. I'd rather switch gears as many times as it takes if it means you know how to run a regression in Excel than to stick to the main line and drill y'all on equations because the book says so. I hope y'all got something out of it. I sure appreciate the opportunity to get y'all up to speed on the things I think will be valuable to you all in the future. Incidentally, I thought about letting you do some analysis on salaries with or without regression and correlation analysis, but opted out because it's a little self-serving, but I did include what I found below in case you need a reason to keep what you learned this spring fresh.
I wish you all the best in your future endeavors. I'll be in touch if you ever have questions about the business world in Texas. If you don't mind, I'd also like to respectully ask for some feedback on the course. I'd love to hear anything you have for me on what were the high and low points, any advice for improving the curriculum, as well as advice for future students taking the course. Is the website good? Do y'all like the case studies? Is textbook optional a good idea? What would help make this class better. Thank you all in advance. Take care!</t>
  </si>
  <si>
    <t xml:space="preserve">Save this file and upload it to the site. Use the upload button in the 'Tests' tab to drag/drop or browse for the file.</t>
  </si>
  <si>
    <t xml:space="preserve">https://acc.indiafoxtrotcharlie.com/2305/tests</t>
  </si>
</sst>
</file>

<file path=xl/styles.xml><?xml version="1.0" encoding="utf-8"?>
<styleSheet xmlns="http://schemas.openxmlformats.org/spreadsheetml/2006/main">
  <numFmts count="10">
    <numFmt numFmtId="164" formatCode="General"/>
    <numFmt numFmtId="165" formatCode="m/d/yyyy"/>
    <numFmt numFmtId="166" formatCode="\$#,##0"/>
    <numFmt numFmtId="167" formatCode="_(* #,##0.00_);_(* \(#,##0.00\);_(* \-??_);_(@_)"/>
    <numFmt numFmtId="168" formatCode="0%"/>
    <numFmt numFmtId="169" formatCode="0.0%"/>
    <numFmt numFmtId="170" formatCode="General"/>
    <numFmt numFmtId="171" formatCode="0.00%"/>
    <numFmt numFmtId="172" formatCode="_(* #,##0_);_(* \(#,##0\);_(* \-??_);_(@_)"/>
    <numFmt numFmtId="173" formatCode="0.00"/>
  </numFmts>
  <fonts count="18">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1"/>
      <color theme="1"/>
      <name val="Calibri"/>
      <family val="2"/>
      <charset val="1"/>
    </font>
    <font>
      <b val="true"/>
      <sz val="11"/>
      <color theme="1"/>
      <name val="Aptos Narrow"/>
      <family val="2"/>
      <charset val="1"/>
    </font>
    <font>
      <b val="true"/>
      <sz val="11"/>
      <color rgb="FFFFFFFF"/>
      <name val="Arial"/>
      <family val="2"/>
      <charset val="1"/>
    </font>
    <font>
      <sz val="10"/>
      <name val="Arial"/>
      <family val="2"/>
      <charset val="1"/>
    </font>
    <font>
      <i val="true"/>
      <sz val="9"/>
      <color theme="1"/>
      <name val="Aptos Narrow"/>
      <family val="2"/>
      <charset val="1"/>
    </font>
    <font>
      <b val="true"/>
      <sz val="11"/>
      <color rgb="FFFFFFFF"/>
      <name val="Aptos Narrow"/>
      <family val="2"/>
      <charset val="1"/>
    </font>
    <font>
      <sz val="11"/>
      <name val="Aptos Narrow"/>
      <family val="2"/>
      <charset val="1"/>
    </font>
    <font>
      <i val="true"/>
      <sz val="11"/>
      <color theme="1"/>
      <name val="Aptos Narrow"/>
      <family val="2"/>
      <charset val="1"/>
    </font>
    <font>
      <vertAlign val="superscript"/>
      <sz val="11"/>
      <color theme="1"/>
      <name val="Aptos Narrow"/>
      <family val="2"/>
      <charset val="1"/>
    </font>
    <font>
      <i val="true"/>
      <sz val="9"/>
      <color rgb="FF888888"/>
      <name val="Aptos Narrow"/>
      <family val="2"/>
      <charset val="1"/>
    </font>
    <font>
      <b val="true"/>
      <vertAlign val="superscript"/>
      <sz val="11"/>
      <color rgb="FFFFFFFF"/>
      <name val="Aptos Narrow"/>
      <family val="2"/>
      <charset val="1"/>
    </font>
    <font>
      <b val="true"/>
      <sz val="11"/>
      <color theme="0"/>
      <name val="Aptos Narrow"/>
      <family val="2"/>
      <charset val="1"/>
    </font>
    <font>
      <u val="single"/>
      <sz val="11"/>
      <color theme="10"/>
      <name val="Aptos Narrow"/>
      <family val="2"/>
      <charset val="1"/>
    </font>
  </fonts>
  <fills count="5">
    <fill>
      <patternFill patternType="none"/>
    </fill>
    <fill>
      <patternFill patternType="gray125"/>
    </fill>
    <fill>
      <patternFill patternType="solid">
        <fgColor rgb="FF7030A0"/>
        <bgColor rgb="FF993366"/>
      </patternFill>
    </fill>
    <fill>
      <patternFill patternType="solid">
        <fgColor rgb="FFFFFFFF"/>
        <bgColor rgb="FFF7F7F7"/>
      </patternFill>
    </fill>
    <fill>
      <patternFill patternType="solid">
        <fgColor rgb="FFF7F7F7"/>
        <bgColor rgb="FFFFFFFF"/>
      </patternFill>
    </fill>
  </fills>
  <borders count="8">
    <border diagonalUp="false" diagonalDown="false">
      <left/>
      <right/>
      <top/>
      <bottom/>
      <diagonal/>
    </border>
    <border diagonalUp="false" diagonalDown="false">
      <left style="medium"/>
      <right style="medium"/>
      <top style="medium"/>
      <bottom style="mediu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 diagonalUp="false" diagonalDown="false">
      <left/>
      <right/>
      <top style="medium"/>
      <bottom style="thin"/>
      <diagonal/>
    </border>
    <border diagonalUp="false" diagonalDown="false">
      <left/>
      <right/>
      <top/>
      <bottom style="mediu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8" fontId="0"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1" applyFont="true" applyBorder="false" applyAlignment="false" applyProtection="false">
      <alignment horizontal="general" vertical="bottom" textRotation="0" wrapText="fals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5" fillId="0" borderId="1" xfId="21" applyFont="true" applyBorder="true" applyAlignment="false" applyProtection="false">
      <alignment horizontal="general" vertical="bottom" textRotation="0" wrapText="false" indent="0" shrinkToFit="false"/>
      <protection locked="true" hidden="false"/>
    </xf>
    <xf numFmtId="164" fontId="4" fillId="0" borderId="0" xfId="21"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3" xfId="21" applyFont="true" applyBorder="true" applyAlignment="true" applyProtection="false">
      <alignment horizontal="center" vertical="bottom" textRotation="0" wrapText="true" indent="0" shrinkToFit="false"/>
      <protection locked="true" hidden="false"/>
    </xf>
    <xf numFmtId="164" fontId="7" fillId="2" borderId="0" xfId="21" applyFont="true" applyBorder="false" applyAlignment="true" applyProtection="false">
      <alignment horizontal="center" vertical="center" textRotation="0" wrapText="true" indent="0" shrinkToFit="false"/>
      <protection locked="true" hidden="false"/>
    </xf>
    <xf numFmtId="164" fontId="7" fillId="2" borderId="0" xfId="21" applyFont="true" applyBorder="false" applyAlignment="true" applyProtection="false">
      <alignment horizontal="center" vertical="bottom" textRotation="0" wrapText="true" indent="0" shrinkToFit="false"/>
      <protection locked="true" hidden="false"/>
    </xf>
    <xf numFmtId="165" fontId="8" fillId="0" borderId="3" xfId="21" applyFont="true" applyBorder="true" applyAlignment="false" applyProtection="false">
      <alignment horizontal="general" vertical="bottom" textRotation="0" wrapText="false" indent="0" shrinkToFit="false"/>
      <protection locked="true" hidden="false"/>
    </xf>
    <xf numFmtId="166" fontId="8" fillId="0" borderId="3" xfId="21"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7" fontId="0" fillId="0" borderId="3" xfId="15"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center" textRotation="0" wrapText="tru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19" applyFont="true" applyBorder="true" applyAlignment="true" applyProtection="tru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1" xfId="19" applyFont="true" applyBorder="true" applyAlignment="true" applyProtection="true">
      <alignment horizontal="general" vertical="bottom" textRotation="0" wrapText="false" indent="0" shrinkToFit="false"/>
      <protection locked="true" hidden="false"/>
    </xf>
    <xf numFmtId="167" fontId="0" fillId="0" borderId="1" xfId="15"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2" borderId="4" xfId="0" applyFont="true" applyBorder="true" applyAlignment="true" applyProtection="false">
      <alignment horizontal="center" vertical="center" textRotation="0" wrapText="false" indent="0" shrinkToFit="false"/>
      <protection locked="true" hidden="false"/>
    </xf>
    <xf numFmtId="164" fontId="10" fillId="2" borderId="4" xfId="0" applyFont="true" applyBorder="true" applyAlignment="true" applyProtection="false">
      <alignment horizontal="right" vertical="center" textRotation="0" wrapText="false" indent="2" shrinkToFit="false"/>
      <protection locked="true" hidden="false"/>
    </xf>
    <xf numFmtId="164" fontId="10" fillId="2" borderId="4" xfId="0" applyFont="true" applyBorder="true" applyAlignment="true" applyProtection="false">
      <alignment horizontal="right" vertical="center" textRotation="0" wrapText="false" indent="0" shrinkToFit="false"/>
      <protection locked="true" hidden="false"/>
    </xf>
    <xf numFmtId="164" fontId="10" fillId="2" borderId="5" xfId="0" applyFont="true" applyBorder="true" applyAlignment="true" applyProtection="false">
      <alignment horizontal="center" vertical="center"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3" borderId="4" xfId="0" applyFont="true" applyBorder="true" applyAlignment="true" applyProtection="false">
      <alignment horizontal="left" vertical="center" textRotation="0" wrapText="false" indent="0" shrinkToFit="false"/>
      <protection locked="true" hidden="false"/>
    </xf>
    <xf numFmtId="171" fontId="11" fillId="3" borderId="4" xfId="19" applyFont="true" applyBorder="true" applyAlignment="true" applyProtection="true">
      <alignment horizontal="right" vertical="center" textRotation="0" wrapText="false" indent="0" shrinkToFit="false"/>
      <protection locked="true" hidden="false"/>
    </xf>
    <xf numFmtId="172" fontId="11" fillId="3" borderId="4" xfId="15" applyFont="true" applyBorder="true" applyAlignment="true" applyProtection="true">
      <alignment horizontal="right" vertical="center" textRotation="0" wrapText="false" indent="0" shrinkToFit="false"/>
      <protection locked="true" hidden="false"/>
    </xf>
    <xf numFmtId="164" fontId="0" fillId="0" borderId="1" xfId="0" applyFont="true" applyBorder="true" applyAlignment="true" applyProtection="false">
      <alignment horizontal="right" vertical="bottom" textRotation="0" wrapText="false" indent="0" shrinkToFit="false"/>
      <protection locked="true" hidden="false"/>
    </xf>
    <xf numFmtId="165" fontId="11" fillId="4" borderId="4" xfId="0" applyFont="true" applyBorder="true" applyAlignment="true" applyProtection="false">
      <alignment horizontal="left" vertical="center" textRotation="0" wrapText="false" indent="0" shrinkToFit="false"/>
      <protection locked="true" hidden="false"/>
    </xf>
    <xf numFmtId="171" fontId="11" fillId="4" borderId="4" xfId="19" applyFont="true" applyBorder="true" applyAlignment="true" applyProtection="true">
      <alignment horizontal="right" vertical="center" textRotation="0" wrapText="false" indent="0" shrinkToFit="false"/>
      <protection locked="true" hidden="false"/>
    </xf>
    <xf numFmtId="172" fontId="11" fillId="4" borderId="4" xfId="0" applyFont="true" applyBorder="true" applyAlignment="true" applyProtection="false">
      <alignment horizontal="right" vertical="center" textRotation="0" wrapText="false" indent="0" shrinkToFit="false"/>
      <protection locked="true" hidden="false"/>
    </xf>
    <xf numFmtId="172" fontId="11" fillId="3" borderId="4"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73" fontId="0" fillId="0" borderId="1" xfId="15"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2" fontId="0" fillId="0" borderId="0" xfId="15"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2"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72" fontId="10" fillId="2" borderId="4" xfId="15" applyFont="true" applyBorder="true" applyAlignment="true" applyProtection="true">
      <alignment horizontal="right" vertical="center" textRotation="0" wrapText="false" indent="0" shrinkToFit="false"/>
      <protection locked="true" hidden="false"/>
    </xf>
    <xf numFmtId="164" fontId="16" fillId="2" borderId="4" xfId="0" applyFont="tru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70" fontId="0" fillId="0" borderId="1" xfId="0" applyFont="false" applyBorder="true" applyAlignment="true" applyProtection="false">
      <alignment horizontal="general" vertical="center" textRotation="0" wrapText="false" indent="0" shrinkToFit="false"/>
      <protection locked="true" hidden="false"/>
    </xf>
    <xf numFmtId="164" fontId="0" fillId="0" borderId="1" xfId="0" applyFont="true" applyBorder="true" applyAlignment="true" applyProtection="false">
      <alignment horizontal="right" vertical="center" textRotation="0" wrapText="false" indent="0" shrinkToFit="false"/>
      <protection locked="true" hidden="false"/>
    </xf>
    <xf numFmtId="167" fontId="0" fillId="0" borderId="1" xfId="15" applyFont="true" applyBorder="true" applyAlignment="true" applyProtection="true">
      <alignment horizontal="general" vertical="center" textRotation="0" wrapText="false" indent="0" shrinkToFit="false"/>
      <protection locked="true" hidden="false"/>
    </xf>
    <xf numFmtId="172" fontId="0" fillId="0" borderId="1" xfId="15"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17" fillId="0" borderId="0" xfId="20" applyFont="true" applyBorder="tru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7030A0"/>
          <bgColor rgb="FF000000"/>
        </patternFill>
      </fill>
    </dxf>
    <dxf>
      <fill>
        <patternFill patternType="solid">
          <fgColor rgb="FFF7F7F7"/>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7030A0"/>
      <rgbColor rgb="FFF7F7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hyperlink" Target="https://acc.indiafoxtrotcharlie.com/2305/test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8.54296875" defaultRowHeight="14.2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67.18"/>
    <col collapsed="false" customWidth="false" hidden="false" outlineLevel="0" max="16384" min="4" style="1" width="8.54"/>
  </cols>
  <sheetData>
    <row r="2" customFormat="false" ht="15" hidden="false" customHeight="true" outlineLevel="0" collapsed="false">
      <c r="B2" s="2" t="s">
        <v>0</v>
      </c>
      <c r="C2" s="3"/>
    </row>
    <row r="4" customFormat="false" ht="27.75" hidden="false" customHeight="true" outlineLevel="0" collapsed="false"/>
    <row r="6" customFormat="false" ht="15" hidden="false" customHeight="true" outlineLevel="0" collapsed="false">
      <c r="B6"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66"/>
  <sheetViews>
    <sheetView showFormulas="false" showGridLines="true" showRowColHeaders="true" showZeros="true" rightToLeft="false" tabSelected="false" showOutlineSymbols="true" defaultGridColor="true" view="normal" topLeftCell="C5" colorId="64" zoomScale="100" zoomScaleNormal="100" zoomScalePageLayoutView="100" workbookViewId="0">
      <selection pane="topLeft" activeCell="F61" activeCellId="0" sqref="F61"/>
    </sheetView>
  </sheetViews>
  <sheetFormatPr defaultColWidth="8.5390625" defaultRowHeight="14.25" zeroHeight="false" outlineLevelRow="1" outlineLevelCol="0"/>
  <cols>
    <col collapsed="false" customWidth="true" hidden="false" outlineLevel="0" max="1" min="1" style="0" width="28.82"/>
    <col collapsed="false" customWidth="true" hidden="false" outlineLevel="0" max="2" min="2" style="0" width="15"/>
    <col collapsed="false" customWidth="true" hidden="false" outlineLevel="0" max="3" min="3" style="0" width="14.81"/>
    <col collapsed="false" customWidth="true" hidden="false" outlineLevel="0" max="4" min="4" style="0" width="15.18"/>
    <col collapsed="false" customWidth="true" hidden="false" outlineLevel="0" max="6" min="6" style="5" width="84.54"/>
    <col collapsed="false" customWidth="true" hidden="false" outlineLevel="0" max="7" min="7" style="0" width="72.45"/>
    <col collapsed="false" customWidth="true" hidden="false" outlineLevel="0" max="8" min="8" style="0" width="24.82"/>
  </cols>
  <sheetData>
    <row r="2" customFormat="false" ht="14.25" hidden="false" customHeight="false" outlineLevel="0" collapsed="false">
      <c r="F2" s="6" t="s">
        <v>1</v>
      </c>
    </row>
    <row r="3" customFormat="false" ht="55.2" hidden="false" customHeight="false" outlineLevel="0" collapsed="false">
      <c r="F3" s="7" t="s">
        <v>2</v>
      </c>
    </row>
    <row r="7" customFormat="false" ht="14.25" hidden="false" customHeight="false" outlineLevel="0" collapsed="false">
      <c r="B7" s="8" t="s">
        <v>3</v>
      </c>
      <c r="C7" s="8" t="s">
        <v>4</v>
      </c>
      <c r="D7" s="8" t="s">
        <v>5</v>
      </c>
      <c r="F7" s="9" t="s">
        <v>6</v>
      </c>
      <c r="G7" s="10" t="s">
        <v>7</v>
      </c>
    </row>
    <row r="8" customFormat="false" ht="14.25" hidden="true" customHeight="false" outlineLevel="1" collapsed="false">
      <c r="B8" s="11" t="n">
        <v>44957</v>
      </c>
      <c r="C8" s="12" t="n">
        <v>2524</v>
      </c>
      <c r="D8" s="12" t="n">
        <v>17305</v>
      </c>
    </row>
    <row r="9" customFormat="false" ht="14.25" hidden="true" customHeight="false" outlineLevel="1" collapsed="false">
      <c r="B9" s="11" t="n">
        <f aca="false">+EOMONTH(B8,1)</f>
        <v>44985</v>
      </c>
      <c r="C9" s="12" t="n">
        <v>2984</v>
      </c>
      <c r="D9" s="12" t="n">
        <v>20203</v>
      </c>
    </row>
    <row r="10" customFormat="false" ht="14.25" hidden="true" customHeight="false" outlineLevel="1" collapsed="false">
      <c r="B10" s="11" t="n">
        <f aca="false">+EOMONTH(B9,1)</f>
        <v>45016</v>
      </c>
      <c r="C10" s="12" t="n">
        <v>3270</v>
      </c>
      <c r="D10" s="12" t="n">
        <v>24213</v>
      </c>
    </row>
    <row r="11" customFormat="false" ht="14.25" hidden="true" customHeight="false" outlineLevel="1" collapsed="false">
      <c r="B11" s="11" t="n">
        <f aca="false">+EOMONTH(B10,1)</f>
        <v>45046</v>
      </c>
      <c r="C11" s="12" t="n">
        <v>3466</v>
      </c>
      <c r="D11" s="12" t="n">
        <v>25955</v>
      </c>
    </row>
    <row r="12" customFormat="false" ht="14.25" hidden="true" customHeight="false" outlineLevel="1" collapsed="false">
      <c r="B12" s="11" t="n">
        <f aca="false">+EOMONTH(B11,1)</f>
        <v>45077</v>
      </c>
      <c r="C12" s="12" t="n">
        <v>4138</v>
      </c>
      <c r="D12" s="12" t="n">
        <v>30333</v>
      </c>
    </row>
    <row r="13" customFormat="false" ht="14.25" hidden="true" customHeight="false" outlineLevel="1" collapsed="false">
      <c r="B13" s="11" t="n">
        <f aca="false">+EOMONTH(B12,1)</f>
        <v>45107</v>
      </c>
      <c r="C13" s="12" t="n">
        <v>4444</v>
      </c>
      <c r="D13" s="12" t="n">
        <v>33132</v>
      </c>
    </row>
    <row r="14" customFormat="false" ht="14.25" hidden="true" customHeight="false" outlineLevel="1" collapsed="false">
      <c r="B14" s="11" t="n">
        <f aca="false">+EOMONTH(B13,1)</f>
        <v>45138</v>
      </c>
      <c r="C14" s="12" t="n">
        <v>4963</v>
      </c>
      <c r="D14" s="12" t="n">
        <v>33346</v>
      </c>
    </row>
    <row r="15" customFormat="false" ht="14.25" hidden="true" customHeight="false" outlineLevel="1" collapsed="false">
      <c r="B15" s="11" t="n">
        <f aca="false">+EOMONTH(B14,1)</f>
        <v>45169</v>
      </c>
      <c r="C15" s="12" t="n">
        <v>4630</v>
      </c>
      <c r="D15" s="12" t="n">
        <v>30632</v>
      </c>
    </row>
    <row r="16" customFormat="false" ht="14.25" hidden="true" customHeight="false" outlineLevel="1" collapsed="false">
      <c r="B16" s="11" t="n">
        <f aca="false">+EOMONTH(B15,1)</f>
        <v>45199</v>
      </c>
      <c r="C16" s="12" t="n">
        <v>4312</v>
      </c>
      <c r="D16" s="12" t="n">
        <v>28121</v>
      </c>
    </row>
    <row r="17" customFormat="false" ht="14.25" hidden="true" customHeight="false" outlineLevel="1" collapsed="false">
      <c r="B17" s="11" t="n">
        <f aca="false">+EOMONTH(B16,1)</f>
        <v>45230</v>
      </c>
      <c r="C17" s="12" t="n">
        <v>3817</v>
      </c>
      <c r="D17" s="12" t="n">
        <v>25241</v>
      </c>
    </row>
    <row r="18" customFormat="false" ht="14.25" hidden="true" customHeight="false" outlineLevel="1" collapsed="false">
      <c r="B18" s="11" t="n">
        <f aca="false">+EOMONTH(B17,1)</f>
        <v>45260</v>
      </c>
      <c r="C18" s="12" t="n">
        <v>3615</v>
      </c>
      <c r="D18" s="12" t="n">
        <v>24257</v>
      </c>
    </row>
    <row r="19" customFormat="false" ht="14.25" hidden="true" customHeight="false" outlineLevel="1" collapsed="false">
      <c r="B19" s="11" t="n">
        <f aca="false">+EOMONTH(B18,1)</f>
        <v>45291</v>
      </c>
      <c r="C19" s="12" t="n">
        <v>3422</v>
      </c>
      <c r="D19" s="12" t="n">
        <v>21313</v>
      </c>
    </row>
    <row r="20" customFormat="false" ht="14.25" hidden="true" customHeight="false" outlineLevel="1" collapsed="false">
      <c r="B20" s="11" t="n">
        <f aca="false">+EOMONTH(B19,1)</f>
        <v>45322</v>
      </c>
      <c r="C20" s="12" t="n">
        <v>3283</v>
      </c>
      <c r="D20" s="12" t="n">
        <v>21156</v>
      </c>
    </row>
    <row r="21" customFormat="false" ht="14.25" hidden="true" customHeight="false" outlineLevel="1" collapsed="false">
      <c r="B21" s="11" t="n">
        <f aca="false">+EOMONTH(B20,1)</f>
        <v>45351</v>
      </c>
      <c r="C21" s="12" t="n">
        <v>3676</v>
      </c>
      <c r="D21" s="12" t="n">
        <v>25883</v>
      </c>
    </row>
    <row r="22" customFormat="false" ht="14.25" hidden="true" customHeight="false" outlineLevel="1" collapsed="false">
      <c r="B22" s="11" t="n">
        <f aca="false">+EOMONTH(B21,1)</f>
        <v>45382</v>
      </c>
      <c r="C22" s="12" t="n">
        <v>3986</v>
      </c>
      <c r="D22" s="12" t="n">
        <v>27880</v>
      </c>
    </row>
    <row r="23" customFormat="false" ht="14.25" hidden="true" customHeight="false" outlineLevel="1" collapsed="false">
      <c r="B23" s="11" t="n">
        <f aca="false">+EOMONTH(B22,1)</f>
        <v>45412</v>
      </c>
      <c r="C23" s="12" t="n">
        <v>4451</v>
      </c>
      <c r="D23" s="12" t="n">
        <v>28602</v>
      </c>
    </row>
    <row r="24" customFormat="false" ht="14.25" hidden="true" customHeight="false" outlineLevel="1" collapsed="false">
      <c r="B24" s="11" t="n">
        <f aca="false">+EOMONTH(B23,1)</f>
        <v>45443</v>
      </c>
      <c r="C24" s="12" t="n">
        <v>4726</v>
      </c>
      <c r="D24" s="12" t="n">
        <v>31903</v>
      </c>
    </row>
    <row r="25" customFormat="false" ht="14.25" hidden="true" customHeight="false" outlineLevel="1" collapsed="false">
      <c r="B25" s="11" t="n">
        <f aca="false">+EOMONTH(B24,1)</f>
        <v>45473</v>
      </c>
      <c r="C25" s="12" t="n">
        <v>5125</v>
      </c>
      <c r="D25" s="12" t="n">
        <v>35018</v>
      </c>
    </row>
    <row r="26" customFormat="false" ht="14.25" hidden="true" customHeight="false" outlineLevel="1" collapsed="false">
      <c r="B26" s="11" t="n">
        <f aca="false">+EOMONTH(B25,1)</f>
        <v>45504</v>
      </c>
      <c r="C26" s="12" t="n">
        <v>5115</v>
      </c>
      <c r="D26" s="12" t="n">
        <v>33465</v>
      </c>
    </row>
    <row r="27" customFormat="false" ht="14.25" hidden="true" customHeight="false" outlineLevel="1" collapsed="false">
      <c r="B27" s="11" t="n">
        <f aca="false">+EOMONTH(B26,1)</f>
        <v>45535</v>
      </c>
      <c r="C27" s="12" t="n">
        <v>4866</v>
      </c>
      <c r="D27" s="12" t="n">
        <v>33757</v>
      </c>
    </row>
    <row r="28" customFormat="false" ht="14.25" hidden="true" customHeight="false" outlineLevel="1" collapsed="false">
      <c r="B28" s="11" t="n">
        <f aca="false">+EOMONTH(B27,1)</f>
        <v>45565</v>
      </c>
      <c r="C28" s="12" t="n">
        <v>5221</v>
      </c>
      <c r="D28" s="12" t="n">
        <v>30194</v>
      </c>
    </row>
    <row r="29" customFormat="false" ht="14.25" hidden="true" customHeight="false" outlineLevel="1" collapsed="false">
      <c r="B29" s="11" t="n">
        <f aca="false">+EOMONTH(B28,1)</f>
        <v>45596</v>
      </c>
      <c r="C29" s="12" t="n">
        <v>4115</v>
      </c>
      <c r="D29" s="12" t="n">
        <v>27020</v>
      </c>
    </row>
    <row r="30" customFormat="false" ht="14.25" hidden="true" customHeight="false" outlineLevel="1" collapsed="false">
      <c r="B30" s="11" t="n">
        <f aca="false">+EOMONTH(B29,1)</f>
        <v>45626</v>
      </c>
      <c r="C30" s="12" t="n">
        <v>4339</v>
      </c>
      <c r="D30" s="12" t="n">
        <v>26072</v>
      </c>
    </row>
    <row r="31" customFormat="false" ht="14.25" hidden="true" customHeight="false" outlineLevel="1" collapsed="false">
      <c r="B31" s="11" t="n">
        <f aca="false">+EOMONTH(B30,1)</f>
        <v>45657</v>
      </c>
      <c r="C31" s="12" t="n">
        <v>3844</v>
      </c>
      <c r="D31" s="12" t="n">
        <v>23849</v>
      </c>
    </row>
    <row r="32" customFormat="false" ht="14.25" hidden="true" customHeight="false" outlineLevel="1" collapsed="false">
      <c r="B32" s="11" t="n">
        <f aca="false">+EOMONTH(B31,1)</f>
        <v>45688</v>
      </c>
      <c r="C32" s="12" t="n">
        <v>4567</v>
      </c>
      <c r="D32" s="12" t="n">
        <v>25510</v>
      </c>
    </row>
    <row r="33" customFormat="false" ht="14.25" hidden="true" customHeight="false" outlineLevel="1" collapsed="false">
      <c r="B33" s="11" t="n">
        <f aca="false">+EOMONTH(B32,1)</f>
        <v>45716</v>
      </c>
      <c r="C33" s="12" t="n">
        <v>4196</v>
      </c>
      <c r="D33" s="12" t="n">
        <v>26303</v>
      </c>
    </row>
    <row r="34" customFormat="false" ht="14.25" hidden="true" customHeight="false" outlineLevel="1" collapsed="false">
      <c r="B34" s="11" t="n">
        <f aca="false">+EOMONTH(B33,1)</f>
        <v>45747</v>
      </c>
      <c r="C34" s="12" t="n">
        <v>4187</v>
      </c>
      <c r="D34" s="12" t="n">
        <v>28284</v>
      </c>
    </row>
    <row r="35" customFormat="false" ht="14.25" hidden="true" customHeight="false" outlineLevel="1" collapsed="false">
      <c r="B35" s="11" t="n">
        <f aca="false">+EOMONTH(B34,1)</f>
        <v>45777</v>
      </c>
      <c r="C35" s="12" t="n">
        <v>5172</v>
      </c>
      <c r="D35" s="12" t="n">
        <v>32594</v>
      </c>
    </row>
    <row r="36" customFormat="false" ht="14.25" hidden="true" customHeight="false" outlineLevel="1" collapsed="false">
      <c r="B36" s="11" t="n">
        <f aca="false">+EOMONTH(B35,1)</f>
        <v>45808</v>
      </c>
      <c r="C36" s="12" t="n">
        <v>4982</v>
      </c>
      <c r="D36" s="12" t="n">
        <v>34601</v>
      </c>
    </row>
    <row r="37" customFormat="false" ht="14.25" hidden="true" customHeight="false" outlineLevel="1" collapsed="false">
      <c r="B37" s="11" t="n">
        <f aca="false">+EOMONTH(B36,1)</f>
        <v>45838</v>
      </c>
      <c r="C37" s="12" t="n">
        <v>5537</v>
      </c>
      <c r="D37" s="12" t="n">
        <v>35048</v>
      </c>
    </row>
    <row r="38" customFormat="false" ht="14.25" hidden="true" customHeight="false" outlineLevel="1" collapsed="false">
      <c r="B38" s="11" t="n">
        <f aca="false">+EOMONTH(B37,1)</f>
        <v>45869</v>
      </c>
      <c r="C38" s="12" t="n">
        <v>5482</v>
      </c>
      <c r="D38" s="12" t="n">
        <v>33679</v>
      </c>
    </row>
    <row r="39" customFormat="false" ht="14.25" hidden="true" customHeight="false" outlineLevel="1" collapsed="false">
      <c r="B39" s="11" t="n">
        <f aca="false">+EOMONTH(B38,1)</f>
        <v>45900</v>
      </c>
      <c r="C39" s="12" t="n">
        <v>5816</v>
      </c>
      <c r="D39" s="12" t="n">
        <v>35123</v>
      </c>
    </row>
    <row r="40" customFormat="false" ht="14.25" hidden="true" customHeight="false" outlineLevel="1" collapsed="false">
      <c r="B40" s="11" t="n">
        <f aca="false">+EOMONTH(B39,1)</f>
        <v>45930</v>
      </c>
      <c r="C40" s="12" t="n">
        <v>5476</v>
      </c>
      <c r="D40" s="12" t="n">
        <v>33233</v>
      </c>
    </row>
    <row r="41" customFormat="false" ht="14.25" hidden="false" customHeight="false" outlineLevel="0" collapsed="false">
      <c r="B41" s="11" t="n">
        <f aca="false">+EOMONTH(B40,1)</f>
        <v>45961</v>
      </c>
      <c r="C41" s="12" t="n">
        <v>4927</v>
      </c>
      <c r="D41" s="12" t="n">
        <v>28628</v>
      </c>
    </row>
    <row r="42" customFormat="false" ht="14.25" hidden="false" customHeight="false" outlineLevel="0" collapsed="false">
      <c r="B42" s="11" t="n">
        <f aca="false">+EOMONTH(B41,1)</f>
        <v>45991</v>
      </c>
      <c r="C42" s="12" t="n">
        <v>4713</v>
      </c>
      <c r="D42" s="12" t="n">
        <v>26614</v>
      </c>
    </row>
    <row r="43" customFormat="false" ht="14.25" hidden="false" customHeight="false" outlineLevel="0" collapsed="false">
      <c r="A43" s="13" t="s">
        <v>8</v>
      </c>
      <c r="B43" s="11" t="n">
        <f aca="false">+EOMONTH(B42,1)</f>
        <v>46022</v>
      </c>
      <c r="C43" s="12" t="n">
        <v>4544</v>
      </c>
      <c r="D43" s="12" t="n">
        <v>26754</v>
      </c>
    </row>
    <row r="44" customFormat="false" ht="14.25" hidden="false" customHeight="false" outlineLevel="0" collapsed="false">
      <c r="F44" s="5" t="s">
        <v>9</v>
      </c>
      <c r="G44" s="14" t="s">
        <v>10</v>
      </c>
    </row>
    <row r="45" customFormat="false" ht="14.25" hidden="false" customHeight="false" outlineLevel="0" collapsed="false">
      <c r="B45" s="11" t="n">
        <f aca="false">+EOMONTH(B43,1)</f>
        <v>46053</v>
      </c>
      <c r="C45" s="15" t="n">
        <f aca="false">+SUM($C$32:$C$43)*(1+$G$50)*0.4/9</f>
        <v>2860.99375208594</v>
      </c>
      <c r="D45" s="15" t="n">
        <f aca="false">+$G$59+$G$57*C45</f>
        <v>20278.9644932168</v>
      </c>
    </row>
    <row r="46" customFormat="false" ht="14.9" hidden="false" customHeight="false" outlineLevel="0" collapsed="false">
      <c r="B46" s="11" t="n">
        <f aca="false">+EOMONTH(B45,1)</f>
        <v>46081</v>
      </c>
      <c r="C46" s="15" t="n">
        <f aca="false">+SUM($C$32:$C$43)*(1+$G$50)*0.4/9</f>
        <v>2860.99375208594</v>
      </c>
      <c r="D46" s="15" t="n">
        <f aca="false">+$G$59+$G$57*C46</f>
        <v>20278.9644932168</v>
      </c>
      <c r="F46" s="16" t="n">
        <v>2023</v>
      </c>
      <c r="G46" s="17" t="n">
        <f aca="false">+SUM(D8:D19)</f>
        <v>314051</v>
      </c>
    </row>
    <row r="47" customFormat="false" ht="14.9" hidden="false" customHeight="false" outlineLevel="0" collapsed="false">
      <c r="B47" s="11" t="n">
        <f aca="false">+EOMONTH(B46,1)</f>
        <v>46112</v>
      </c>
      <c r="C47" s="15" t="n">
        <f aca="false">+SUM($C$32:$C$43)*(1+$G$50)*0.4/9</f>
        <v>2860.99375208594</v>
      </c>
      <c r="D47" s="15" t="n">
        <f aca="false">+$G$59+$G$57*C47</f>
        <v>20278.9644932168</v>
      </c>
      <c r="F47" s="16" t="n">
        <v>2024</v>
      </c>
      <c r="G47" s="17" t="n">
        <f aca="false">+SUM(D20:D31)</f>
        <v>344799</v>
      </c>
    </row>
    <row r="48" customFormat="false" ht="14.9" hidden="false" customHeight="false" outlineLevel="0" collapsed="false">
      <c r="B48" s="11" t="n">
        <f aca="false">+EOMONTH(B47,1)</f>
        <v>46142</v>
      </c>
      <c r="C48" s="15" t="n">
        <f aca="false">+SUM($C$32:$C$43)*(1+$G$50)*0.4/9</f>
        <v>2860.99375208594</v>
      </c>
      <c r="D48" s="15" t="n">
        <f aca="false">+$G$59+$G$57*C48</f>
        <v>20278.9644932168</v>
      </c>
      <c r="F48" s="16" t="n">
        <v>2025</v>
      </c>
      <c r="G48" s="17" t="n">
        <f aca="false">+SUM(D32:D43)</f>
        <v>366371</v>
      </c>
    </row>
    <row r="49" customFormat="false" ht="14.25" hidden="false" customHeight="false" outlineLevel="0" collapsed="false">
      <c r="B49" s="11" t="n">
        <f aca="false">+EOMONTH(B48,1)</f>
        <v>46173</v>
      </c>
      <c r="C49" s="15" t="n">
        <f aca="false">+SUM($C$32:$C$43)*(1+$G$50)*0.4/9</f>
        <v>2860.99375208594</v>
      </c>
      <c r="D49" s="15" t="n">
        <f aca="false">+$G$59+$G$57*C49</f>
        <v>20278.9644932168</v>
      </c>
    </row>
    <row r="50" customFormat="false" ht="14.9" hidden="false" customHeight="false" outlineLevel="0" collapsed="false">
      <c r="B50" s="11" t="n">
        <f aca="false">+EOMONTH(B49,1)</f>
        <v>46203</v>
      </c>
      <c r="C50" s="15" t="n">
        <f aca="false">+SUM($C$32:$C$43)*(1+$G$50)*0.6/3</f>
        <v>12874.4718843867</v>
      </c>
      <c r="D50" s="15" t="n">
        <f aca="false">+$G$59+$G$57*C50</f>
        <v>74083.4449221009</v>
      </c>
      <c r="F50" s="5" t="s">
        <v>11</v>
      </c>
      <c r="G50" s="18" t="n">
        <f aca="false">+(G48/G46)^(1/(F48-F46))-1</f>
        <v>0.0800912670000111</v>
      </c>
    </row>
    <row r="51" customFormat="false" ht="14.25" hidden="false" customHeight="false" outlineLevel="0" collapsed="false">
      <c r="B51" s="11" t="n">
        <f aca="false">+EOMONTH(B50,1)</f>
        <v>46234</v>
      </c>
      <c r="C51" s="15" t="n">
        <f aca="false">+SUM($C$32:$C$43)*(1+$G$50)*0.6/3</f>
        <v>12874.4718843867</v>
      </c>
      <c r="D51" s="15" t="n">
        <f aca="false">+$G$59+$G$57*C51</f>
        <v>74083.4449221009</v>
      </c>
    </row>
    <row r="52" customFormat="false" ht="14.9" hidden="false" customHeight="false" outlineLevel="0" collapsed="false">
      <c r="B52" s="11" t="n">
        <f aca="false">+EOMONTH(B51,1)</f>
        <v>46265</v>
      </c>
      <c r="C52" s="15" t="n">
        <f aca="false">+SUM($C$32:$C$43)*(1+$G$50)*0.6/3</f>
        <v>12874.4718843867</v>
      </c>
      <c r="D52" s="15" t="n">
        <f aca="false">+$G$59+$G$57*C52</f>
        <v>74083.4449221009</v>
      </c>
      <c r="F52" s="5" t="s">
        <v>12</v>
      </c>
      <c r="G52" s="19" t="n">
        <f aca="false">CORREL(C8:C43,D8:D43)</f>
        <v>0.901576808268067</v>
      </c>
      <c r="H52" s="20" t="s">
        <v>13</v>
      </c>
    </row>
    <row r="53" customFormat="false" ht="14.25" hidden="false" customHeight="false" outlineLevel="0" collapsed="false">
      <c r="B53" s="11" t="n">
        <f aca="false">+EOMONTH(B52,1)</f>
        <v>46295</v>
      </c>
      <c r="C53" s="15" t="n">
        <f aca="false">+SUM($C$32:$C$43)*(1+$G$50)*0.4/9</f>
        <v>2860.99375208594</v>
      </c>
      <c r="D53" s="15" t="n">
        <f aca="false">+$G$59+$G$57*C53</f>
        <v>20278.9644932168</v>
      </c>
      <c r="G53" s="19" t="s">
        <v>14</v>
      </c>
      <c r="H53" s="20" t="s">
        <v>15</v>
      </c>
    </row>
    <row r="54" customFormat="false" ht="14.25" hidden="false" customHeight="false" outlineLevel="0" collapsed="false">
      <c r="B54" s="11" t="n">
        <f aca="false">+EOMONTH(B53,1)</f>
        <v>46326</v>
      </c>
      <c r="C54" s="15" t="n">
        <f aca="false">+SUM($C$32:$C$43)*(1+$G$50)*0.4/9</f>
        <v>2860.99375208594</v>
      </c>
      <c r="D54" s="15" t="n">
        <f aca="false">+$G$59+$G$57*C54</f>
        <v>20278.9644932168</v>
      </c>
    </row>
    <row r="55" customFormat="false" ht="14.9" hidden="false" customHeight="false" outlineLevel="0" collapsed="false">
      <c r="B55" s="11" t="n">
        <f aca="false">+EOMONTH(B54,1)</f>
        <v>46356</v>
      </c>
      <c r="C55" s="15" t="n">
        <f aca="false">+SUM($C$32:$C$43)*(1+$G$50)*0.4/9</f>
        <v>2860.99375208594</v>
      </c>
      <c r="D55" s="15" t="n">
        <f aca="false">+$G$59+$G$57*C55</f>
        <v>20278.9644932168</v>
      </c>
      <c r="F55" s="5" t="s">
        <v>16</v>
      </c>
      <c r="G55" s="21" t="n">
        <f aca="false">+G52^2</f>
        <v>0.812840741206836</v>
      </c>
      <c r="H55" s="20" t="s">
        <v>17</v>
      </c>
    </row>
    <row r="56" customFormat="false" ht="14.25" hidden="false" customHeight="false" outlineLevel="0" collapsed="false">
      <c r="B56" s="11" t="n">
        <f aca="false">+EOMONTH(B55,1)</f>
        <v>46387</v>
      </c>
      <c r="C56" s="15" t="n">
        <f aca="false">+SUM($C$32:$C$43)*(1+$G$50)*0.4/9</f>
        <v>2860.99375208594</v>
      </c>
      <c r="D56" s="15" t="n">
        <f aca="false">+$G$59+$G$57*C56</f>
        <v>20278.9644932168</v>
      </c>
    </row>
    <row r="57" customFormat="false" ht="14.9" hidden="false" customHeight="false" outlineLevel="0" collapsed="false">
      <c r="F57" s="5" t="s">
        <v>18</v>
      </c>
      <c r="G57" s="22" t="n">
        <f aca="false">SLOPE(D8:D43,C8:C43)</f>
        <v>5.37320596480112</v>
      </c>
      <c r="H57" s="20" t="s">
        <v>19</v>
      </c>
    </row>
    <row r="59" customFormat="false" ht="14.9" hidden="false" customHeight="false" outlineLevel="0" collapsed="false">
      <c r="F59" s="5" t="s">
        <v>20</v>
      </c>
      <c r="G59" s="22" t="n">
        <f aca="false">INTERCEPT(D8:D43,C8:C43)</f>
        <v>4906.25579924985</v>
      </c>
      <c r="H59" s="20" t="s">
        <v>21</v>
      </c>
    </row>
    <row r="62" customFormat="false" ht="28.35" hidden="false" customHeight="false" outlineLevel="0" collapsed="false">
      <c r="F62" s="5" t="s">
        <v>22</v>
      </c>
      <c r="G62" s="23" t="s">
        <v>23</v>
      </c>
    </row>
    <row r="63" customFormat="false" ht="28.35" hidden="false" customHeight="false" outlineLevel="0" collapsed="false">
      <c r="F63" s="5" t="s">
        <v>24</v>
      </c>
    </row>
    <row r="64" customFormat="false" ht="14.25" hidden="false" customHeight="false" outlineLevel="0" collapsed="false">
      <c r="F64" s="5" t="s">
        <v>25</v>
      </c>
    </row>
    <row r="66" customFormat="false" ht="14.9" hidden="false" customHeight="false" outlineLevel="0" collapsed="false">
      <c r="F66" s="5" t="s">
        <v>26</v>
      </c>
      <c r="G66" s="24" t="n">
        <f aca="false">+(1000000-G59)/G57</f>
        <v>185195.533303474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207"/>
  <sheetViews>
    <sheetView showFormulas="false" showGridLines="true" showRowColHeaders="true" showZeros="true" rightToLeft="false" tabSelected="true" showOutlineSymbols="true" defaultGridColor="true" view="normal" topLeftCell="E16" colorId="64" zoomScale="130" zoomScaleNormal="130" zoomScalePageLayoutView="100" workbookViewId="0">
      <selection pane="topLeft" activeCell="F30" activeCellId="0" sqref="F30"/>
    </sheetView>
  </sheetViews>
  <sheetFormatPr defaultColWidth="8.5390625" defaultRowHeight="14.25" zeroHeight="false" outlineLevelRow="0" outlineLevelCol="0"/>
  <cols>
    <col collapsed="false" customWidth="true" hidden="false" outlineLevel="0" max="1" min="1" style="0" width="9.45"/>
    <col collapsed="false" customWidth="true" hidden="false" outlineLevel="0" max="2" min="2" style="0" width="41"/>
    <col collapsed="false" customWidth="true" hidden="false" outlineLevel="0" max="3" min="3" style="25" width="32.54"/>
    <col collapsed="false" customWidth="true" hidden="false" outlineLevel="0" max="4" min="4" style="25" width="22"/>
    <col collapsed="false" customWidth="true" hidden="false" outlineLevel="0" max="6" min="6" style="0" width="91.54"/>
    <col collapsed="false" customWidth="true" hidden="false" outlineLevel="0" max="7" min="7" style="0" width="28"/>
    <col collapsed="false" customWidth="true" hidden="false" outlineLevel="0" max="9" min="9" style="0" width="22.45"/>
    <col collapsed="false" customWidth="true" hidden="false" outlineLevel="0" max="10" min="10" style="0" width="12.73"/>
    <col collapsed="false" customWidth="true" hidden="false" outlineLevel="0" max="11" min="11" style="0" width="14.73"/>
    <col collapsed="false" customWidth="true" hidden="false" outlineLevel="0" max="12" min="12" style="0" width="12.73"/>
    <col collapsed="false" customWidth="true" hidden="false" outlineLevel="0" max="13" min="13" style="0" width="12"/>
    <col collapsed="false" customWidth="true" hidden="false" outlineLevel="0" max="14" min="14" style="0" width="13.73"/>
    <col collapsed="false" customWidth="true" hidden="false" outlineLevel="0" max="15" min="15" style="0" width="12.73"/>
    <col collapsed="false" customWidth="true" hidden="false" outlineLevel="0" max="17" min="16" style="0" width="12.81"/>
  </cols>
  <sheetData>
    <row r="2" customFormat="false" ht="14.25" hidden="false" customHeight="false" outlineLevel="0" collapsed="false">
      <c r="F2" s="26" t="s">
        <v>1</v>
      </c>
    </row>
    <row r="3" customFormat="false" ht="41.75" hidden="false" customHeight="false" outlineLevel="0" collapsed="false">
      <c r="F3" s="7" t="s">
        <v>27</v>
      </c>
    </row>
    <row r="4" customFormat="false" ht="28.35" hidden="false" customHeight="false" outlineLevel="0" collapsed="false">
      <c r="F4" s="7" t="s">
        <v>28</v>
      </c>
    </row>
    <row r="5" customFormat="false" ht="28.35" hidden="false" customHeight="false" outlineLevel="0" collapsed="false">
      <c r="F5" s="7" t="s">
        <v>29</v>
      </c>
    </row>
    <row r="6" customFormat="false" ht="28.35" hidden="false" customHeight="false" outlineLevel="0" collapsed="false">
      <c r="F6" s="7" t="s">
        <v>30</v>
      </c>
    </row>
    <row r="7" customFormat="false" ht="14.25" hidden="false" customHeight="false" outlineLevel="0" collapsed="false">
      <c r="F7" s="7"/>
    </row>
    <row r="8" customFormat="false" ht="14.25" hidden="false" customHeight="false" outlineLevel="0" collapsed="false">
      <c r="B8" s="27"/>
    </row>
    <row r="9" customFormat="false" ht="14.25" hidden="false" customHeight="false" outlineLevel="0" collapsed="false">
      <c r="B9" s="28" t="s">
        <v>31</v>
      </c>
      <c r="C9" s="29" t="s">
        <v>32</v>
      </c>
      <c r="D9" s="30" t="s">
        <v>33</v>
      </c>
      <c r="F9" s="28" t="s">
        <v>6</v>
      </c>
      <c r="G9" s="31" t="s">
        <v>7</v>
      </c>
    </row>
    <row r="10" customFormat="false" ht="14.25" hidden="false" customHeight="false" outlineLevel="0" collapsed="false">
      <c r="A10" s="32"/>
      <c r="B10" s="33" t="n">
        <v>46113</v>
      </c>
      <c r="C10" s="34" t="n">
        <v>0.043</v>
      </c>
      <c r="D10" s="35" t="n">
        <v>656115</v>
      </c>
      <c r="F10" s="20" t="s">
        <v>34</v>
      </c>
      <c r="G10" s="36" t="s">
        <v>35</v>
      </c>
      <c r="I10" s="20" t="s">
        <v>36</v>
      </c>
    </row>
    <row r="11" customFormat="false" ht="14.25" hidden="false" customHeight="false" outlineLevel="0" collapsed="false">
      <c r="A11" s="32"/>
      <c r="B11" s="37" t="n">
        <v>46082</v>
      </c>
      <c r="C11" s="38" t="n">
        <v>0.043</v>
      </c>
      <c r="D11" s="39" t="n">
        <v>653040</v>
      </c>
      <c r="G11" s="25"/>
    </row>
    <row r="12" customFormat="false" ht="14.25" hidden="false" customHeight="false" outlineLevel="0" collapsed="false">
      <c r="A12" s="32"/>
      <c r="B12" s="33" t="n">
        <v>46054</v>
      </c>
      <c r="C12" s="34" t="n">
        <v>0.044</v>
      </c>
      <c r="D12" s="40" t="n">
        <v>641038</v>
      </c>
      <c r="F12" s="20" t="s">
        <v>37</v>
      </c>
      <c r="G12" s="36" t="s">
        <v>38</v>
      </c>
      <c r="I12" s="41" t="s">
        <v>39</v>
      </c>
      <c r="J12" s="41"/>
    </row>
    <row r="13" customFormat="false" ht="14.25" hidden="false" customHeight="false" outlineLevel="0" collapsed="false">
      <c r="A13" s="32"/>
      <c r="B13" s="37" t="n">
        <v>46023</v>
      </c>
      <c r="C13" s="38" t="n">
        <v>0.043</v>
      </c>
      <c r="D13" s="39" t="n">
        <v>634949</v>
      </c>
      <c r="I13" s="20" t="s">
        <v>40</v>
      </c>
      <c r="J13" s="0" t="n">
        <v>0.642574883619507</v>
      </c>
    </row>
    <row r="14" customFormat="false" ht="14.25" hidden="false" customHeight="false" outlineLevel="0" collapsed="false">
      <c r="A14" s="32"/>
      <c r="B14" s="33" t="n">
        <v>45992</v>
      </c>
      <c r="C14" s="34" t="n">
        <v>0.044</v>
      </c>
      <c r="D14" s="40" t="n">
        <v>634830</v>
      </c>
      <c r="F14" s="20" t="s">
        <v>41</v>
      </c>
      <c r="G14" s="19" t="n">
        <f aca="false">CORREL(C10:C205,D10:D205)</f>
        <v>-0.642574883619508</v>
      </c>
      <c r="I14" s="20" t="s">
        <v>42</v>
      </c>
      <c r="J14" s="0" t="n">
        <v>0.412902481058623</v>
      </c>
    </row>
    <row r="15" customFormat="false" ht="14.25" hidden="false" customHeight="false" outlineLevel="0" collapsed="false">
      <c r="A15" s="32"/>
      <c r="B15" s="37" t="n">
        <v>45962</v>
      </c>
      <c r="C15" s="38" t="n">
        <v>0.045</v>
      </c>
      <c r="D15" s="39" t="n">
        <v>634477</v>
      </c>
      <c r="I15" s="20" t="s">
        <v>43</v>
      </c>
      <c r="J15" s="0" t="n">
        <v>0.409876205187791</v>
      </c>
    </row>
    <row r="16" customFormat="false" ht="14.9" hidden="false" customHeight="false" outlineLevel="0" collapsed="false">
      <c r="A16" s="32"/>
      <c r="B16" s="33" t="n">
        <v>45931</v>
      </c>
      <c r="C16" s="34" t="n">
        <v>0.044</v>
      </c>
      <c r="D16" s="40" t="n">
        <v>631346</v>
      </c>
      <c r="F16" s="20" t="s">
        <v>44</v>
      </c>
      <c r="G16" s="19" t="n">
        <f aca="false">RSQ(D10:D205,C10:C205)</f>
        <v>0.412902481058624</v>
      </c>
      <c r="I16" s="20" t="s">
        <v>45</v>
      </c>
      <c r="J16" s="0" t="n">
        <v>79723.9469925751</v>
      </c>
    </row>
    <row r="17" customFormat="false" ht="14.25" hidden="false" customHeight="false" outlineLevel="0" collapsed="false">
      <c r="A17" s="32"/>
      <c r="B17" s="37" t="n">
        <v>45901</v>
      </c>
      <c r="C17" s="38" t="n">
        <v>0.044</v>
      </c>
      <c r="D17" s="39" t="n">
        <v>632395</v>
      </c>
      <c r="I17" s="42" t="s">
        <v>46</v>
      </c>
      <c r="J17" s="42" t="n">
        <v>196</v>
      </c>
    </row>
    <row r="18" customFormat="false" ht="14.25" hidden="false" customHeight="false" outlineLevel="0" collapsed="false">
      <c r="A18" s="32"/>
      <c r="B18" s="33" t="n">
        <v>45870</v>
      </c>
      <c r="C18" s="34" t="n">
        <v>0.043</v>
      </c>
      <c r="D18" s="40" t="n">
        <v>632149</v>
      </c>
      <c r="F18" s="20" t="s">
        <v>47</v>
      </c>
      <c r="G18" s="43" t="n">
        <f aca="false">SLOPE(D10:D205,C10:C205)</f>
        <v>-3053538.69909156</v>
      </c>
    </row>
    <row r="19" customFormat="false" ht="14.25" hidden="false" customHeight="false" outlineLevel="0" collapsed="false">
      <c r="A19" s="32"/>
      <c r="B19" s="37" t="n">
        <v>45839</v>
      </c>
      <c r="C19" s="38" t="n">
        <v>0.043</v>
      </c>
      <c r="D19" s="39" t="n">
        <v>628747</v>
      </c>
      <c r="I19" s="20" t="s">
        <v>48</v>
      </c>
    </row>
    <row r="20" customFormat="false" ht="14.25" hidden="false" customHeight="false" outlineLevel="0" collapsed="false">
      <c r="A20" s="32"/>
      <c r="B20" s="33" t="n">
        <v>45809</v>
      </c>
      <c r="C20" s="34" t="n">
        <v>0.041</v>
      </c>
      <c r="D20" s="40" t="n">
        <v>624146</v>
      </c>
      <c r="F20" s="20" t="s">
        <v>49</v>
      </c>
      <c r="G20" s="22" t="n">
        <f aca="false">INTERCEPT(D10:D205,C10:C205)</f>
        <v>626786.014656108</v>
      </c>
      <c r="I20" s="41"/>
      <c r="J20" s="41" t="s">
        <v>50</v>
      </c>
      <c r="K20" s="41" t="s">
        <v>51</v>
      </c>
      <c r="L20" s="41" t="s">
        <v>52</v>
      </c>
      <c r="M20" s="41" t="s">
        <v>53</v>
      </c>
      <c r="N20" s="41" t="s">
        <v>54</v>
      </c>
    </row>
    <row r="21" customFormat="false" ht="14.25" hidden="false" customHeight="false" outlineLevel="0" collapsed="false">
      <c r="A21" s="32"/>
      <c r="B21" s="37" t="n">
        <v>45778</v>
      </c>
      <c r="C21" s="38" t="n">
        <v>0.043</v>
      </c>
      <c r="D21" s="39" t="n">
        <v>618037</v>
      </c>
      <c r="I21" s="20" t="s">
        <v>55</v>
      </c>
      <c r="J21" s="0" t="n">
        <v>1</v>
      </c>
      <c r="K21" s="0" t="n">
        <v>867194591856.173</v>
      </c>
      <c r="L21" s="0" t="n">
        <v>867194591856.173</v>
      </c>
      <c r="M21" s="0" t="n">
        <v>136.439141268746</v>
      </c>
      <c r="N21" s="0" t="n">
        <v>3.24603761069534E-024</v>
      </c>
    </row>
    <row r="22" customFormat="false" ht="14.25" hidden="false" customHeight="false" outlineLevel="0" collapsed="false">
      <c r="A22" s="32"/>
      <c r="B22" s="33" t="n">
        <v>45748</v>
      </c>
      <c r="C22" s="34" t="n">
        <v>0.042</v>
      </c>
      <c r="D22" s="40" t="n">
        <v>623635</v>
      </c>
      <c r="F22" s="20" t="s">
        <v>56</v>
      </c>
      <c r="G22" s="22" t="n">
        <f aca="false">$G$20+$G$18*3%</f>
        <v>535179.853683362</v>
      </c>
      <c r="I22" s="20" t="s">
        <v>57</v>
      </c>
      <c r="J22" s="0" t="n">
        <v>194</v>
      </c>
      <c r="K22" s="0" t="n">
        <v>1233046098470.53</v>
      </c>
      <c r="L22" s="0" t="n">
        <v>6355907724.07492</v>
      </c>
    </row>
    <row r="23" customFormat="false" ht="14.25" hidden="false" customHeight="false" outlineLevel="0" collapsed="false">
      <c r="A23" s="32"/>
      <c r="B23" s="37" t="n">
        <v>45717</v>
      </c>
      <c r="C23" s="38" t="n">
        <v>0.042</v>
      </c>
      <c r="D23" s="39" t="n">
        <v>625420</v>
      </c>
      <c r="I23" s="42" t="s">
        <v>58</v>
      </c>
      <c r="J23" s="42" t="n">
        <v>195</v>
      </c>
      <c r="K23" s="42" t="n">
        <v>2100240690326.71</v>
      </c>
      <c r="L23" s="42"/>
      <c r="M23" s="42"/>
      <c r="N23" s="42"/>
    </row>
    <row r="24" customFormat="false" ht="14.25" hidden="false" customHeight="false" outlineLevel="0" collapsed="false">
      <c r="A24" s="32"/>
      <c r="B24" s="33" t="n">
        <v>45689</v>
      </c>
      <c r="C24" s="34" t="n">
        <v>0.042</v>
      </c>
      <c r="D24" s="40" t="n">
        <v>616636</v>
      </c>
      <c r="F24" s="20" t="s">
        <v>59</v>
      </c>
      <c r="G24" s="22" t="n">
        <f aca="false">$G$20+$G$18*2%</f>
        <v>565715.240674277</v>
      </c>
    </row>
    <row r="25" customFormat="false" ht="14.25" hidden="false" customHeight="false" outlineLevel="0" collapsed="false">
      <c r="A25" s="32"/>
      <c r="B25" s="37" t="n">
        <v>45658</v>
      </c>
      <c r="C25" s="38" t="n">
        <v>0.04</v>
      </c>
      <c r="D25" s="39" t="n">
        <v>615145</v>
      </c>
      <c r="I25" s="41"/>
      <c r="J25" s="41" t="s">
        <v>60</v>
      </c>
      <c r="K25" s="41" t="s">
        <v>45</v>
      </c>
      <c r="L25" s="41" t="s">
        <v>61</v>
      </c>
      <c r="M25" s="41" t="s">
        <v>62</v>
      </c>
      <c r="N25" s="41" t="s">
        <v>63</v>
      </c>
      <c r="O25" s="41" t="s">
        <v>64</v>
      </c>
      <c r="P25" s="41" t="s">
        <v>65</v>
      </c>
      <c r="Q25" s="41" t="s">
        <v>66</v>
      </c>
    </row>
    <row r="26" customFormat="false" ht="14.25" hidden="false" customHeight="false" outlineLevel="0" collapsed="false">
      <c r="A26" s="32"/>
      <c r="B26" s="33" t="n">
        <v>45627</v>
      </c>
      <c r="C26" s="34" t="n">
        <v>0.041</v>
      </c>
      <c r="D26" s="40" t="n">
        <v>621713</v>
      </c>
      <c r="F26" s="20" t="s">
        <v>67</v>
      </c>
      <c r="G26" s="19" t="s">
        <v>68</v>
      </c>
      <c r="I26" s="20" t="s">
        <v>69</v>
      </c>
      <c r="J26" s="0" t="n">
        <v>626786.014656108</v>
      </c>
      <c r="K26" s="0" t="n">
        <v>15888.3166451869</v>
      </c>
      <c r="L26" s="0" t="n">
        <v>39.4494916392533</v>
      </c>
      <c r="M26" s="0" t="n">
        <v>1.31363627046875E-094</v>
      </c>
      <c r="N26" s="0" t="n">
        <v>595450.003589422</v>
      </c>
      <c r="O26" s="0" t="n">
        <v>658122.025722795</v>
      </c>
      <c r="P26" s="0" t="n">
        <v>595450.003589422</v>
      </c>
      <c r="Q26" s="0" t="n">
        <v>658122.025722795</v>
      </c>
    </row>
    <row r="27" customFormat="false" ht="14.25" hidden="false" customHeight="false" outlineLevel="0" collapsed="false">
      <c r="A27" s="32"/>
      <c r="B27" s="37" t="n">
        <v>45597</v>
      </c>
      <c r="C27" s="38" t="n">
        <v>0.042</v>
      </c>
      <c r="D27" s="39" t="n">
        <v>616344</v>
      </c>
      <c r="I27" s="42" t="s">
        <v>32</v>
      </c>
      <c r="J27" s="42" t="n">
        <v>-30535.3869909156</v>
      </c>
      <c r="K27" s="42" t="n">
        <v>2614.17068207429</v>
      </c>
      <c r="L27" s="42" t="n">
        <v>-11.6807166419166</v>
      </c>
      <c r="M27" s="42" t="n">
        <v>3.24603761069485E-024</v>
      </c>
      <c r="N27" s="42" t="n">
        <v>-35691.2309517988</v>
      </c>
      <c r="O27" s="42" t="n">
        <v>-25379.5430300324</v>
      </c>
      <c r="P27" s="42" t="n">
        <v>-35691.2309517988</v>
      </c>
      <c r="Q27" s="42" t="n">
        <v>-25379.5430300324</v>
      </c>
    </row>
    <row r="28" customFormat="false" ht="14.25" hidden="false" customHeight="false" outlineLevel="0" collapsed="false">
      <c r="A28" s="32"/>
      <c r="B28" s="33" t="n">
        <v>45566</v>
      </c>
      <c r="C28" s="34" t="n">
        <v>0.041</v>
      </c>
      <c r="D28" s="40" t="n">
        <v>612772</v>
      </c>
      <c r="F28" s="20" t="s">
        <v>70</v>
      </c>
    </row>
    <row r="29" customFormat="false" ht="14.25" hidden="false" customHeight="false" outlineLevel="0" collapsed="false">
      <c r="A29" s="32"/>
      <c r="B29" s="37" t="n">
        <v>45536</v>
      </c>
      <c r="C29" s="38" t="n">
        <v>0.041</v>
      </c>
      <c r="D29" s="39" t="n">
        <v>608774</v>
      </c>
    </row>
    <row r="30" customFormat="false" ht="28.35" hidden="false" customHeight="false" outlineLevel="0" collapsed="false">
      <c r="A30" s="32"/>
      <c r="B30" s="33" t="n">
        <v>45505</v>
      </c>
      <c r="C30" s="34" t="n">
        <v>0.042</v>
      </c>
      <c r="D30" s="40" t="n">
        <v>603601</v>
      </c>
      <c r="F30" s="27" t="s">
        <v>71</v>
      </c>
    </row>
    <row r="31" customFormat="false" ht="14.25" hidden="false" customHeight="false" outlineLevel="0" collapsed="false">
      <c r="A31" s="32"/>
      <c r="B31" s="37" t="n">
        <v>45474</v>
      </c>
      <c r="C31" s="38" t="n">
        <v>0.042</v>
      </c>
      <c r="D31" s="39" t="n">
        <v>605814</v>
      </c>
    </row>
    <row r="32" customFormat="false" ht="14.25" hidden="false" customHeight="false" outlineLevel="0" collapsed="false">
      <c r="A32" s="32"/>
      <c r="B32" s="33" t="n">
        <v>45444</v>
      </c>
      <c r="C32" s="34" t="n">
        <v>0.041</v>
      </c>
      <c r="D32" s="40" t="n">
        <v>599979</v>
      </c>
      <c r="F32" s="20" t="s">
        <v>72</v>
      </c>
      <c r="G32" s="19" t="s">
        <v>73</v>
      </c>
    </row>
    <row r="33" customFormat="false" ht="14.25" hidden="false" customHeight="false" outlineLevel="0" collapsed="false">
      <c r="A33" s="32"/>
      <c r="B33" s="37" t="n">
        <v>45413</v>
      </c>
      <c r="C33" s="38" t="n">
        <v>0.039</v>
      </c>
      <c r="D33" s="39" t="n">
        <v>600372</v>
      </c>
    </row>
    <row r="34" customFormat="false" ht="14.25" hidden="false" customHeight="false" outlineLevel="0" collapsed="false">
      <c r="A34" s="32"/>
      <c r="B34" s="33" t="n">
        <v>45383</v>
      </c>
      <c r="C34" s="34" t="n">
        <v>0.039</v>
      </c>
      <c r="D34" s="40" t="n">
        <v>595676</v>
      </c>
    </row>
    <row r="35" customFormat="false" ht="14.25" hidden="false" customHeight="false" outlineLevel="0" collapsed="false">
      <c r="A35" s="32"/>
      <c r="B35" s="37" t="n">
        <v>45352</v>
      </c>
      <c r="C35" s="38" t="n">
        <v>0.039</v>
      </c>
      <c r="D35" s="39" t="n">
        <v>595969</v>
      </c>
    </row>
    <row r="36" customFormat="false" ht="14.25" hidden="false" customHeight="false" outlineLevel="0" collapsed="false">
      <c r="A36" s="32"/>
      <c r="B36" s="33" t="n">
        <v>45323</v>
      </c>
      <c r="C36" s="34" t="n">
        <v>0.039</v>
      </c>
      <c r="D36" s="40" t="n">
        <v>593206</v>
      </c>
    </row>
    <row r="37" customFormat="false" ht="14.25" hidden="false" customHeight="false" outlineLevel="0" collapsed="false">
      <c r="A37" s="32"/>
      <c r="B37" s="37" t="n">
        <v>45292</v>
      </c>
      <c r="C37" s="38" t="n">
        <v>0.037</v>
      </c>
      <c r="D37" s="39" t="n">
        <v>588944</v>
      </c>
    </row>
    <row r="38" customFormat="false" ht="14.25" hidden="false" customHeight="false" outlineLevel="0" collapsed="false">
      <c r="A38" s="32"/>
      <c r="B38" s="33" t="n">
        <v>45261</v>
      </c>
      <c r="C38" s="34" t="n">
        <v>0.038</v>
      </c>
      <c r="D38" s="40" t="n">
        <v>594256</v>
      </c>
    </row>
    <row r="39" customFormat="false" ht="14.25" hidden="false" customHeight="false" outlineLevel="0" collapsed="false">
      <c r="A39" s="32"/>
      <c r="B39" s="37" t="n">
        <v>45231</v>
      </c>
      <c r="C39" s="38" t="n">
        <v>0.037</v>
      </c>
      <c r="D39" s="39" t="n">
        <v>593567</v>
      </c>
    </row>
    <row r="40" customFormat="false" ht="14.25" hidden="false" customHeight="false" outlineLevel="0" collapsed="false">
      <c r="A40" s="32"/>
      <c r="B40" s="33" t="n">
        <v>45200</v>
      </c>
      <c r="C40" s="34" t="n">
        <v>0.039</v>
      </c>
      <c r="D40" s="40" t="n">
        <v>595517</v>
      </c>
    </row>
    <row r="41" customFormat="false" ht="14.25" hidden="false" customHeight="false" outlineLevel="0" collapsed="false">
      <c r="A41" s="32"/>
      <c r="B41" s="37" t="n">
        <v>45170</v>
      </c>
      <c r="C41" s="38" t="n">
        <v>0.037</v>
      </c>
      <c r="D41" s="39" t="n">
        <v>598956</v>
      </c>
    </row>
    <row r="42" customFormat="false" ht="14.25" hidden="false" customHeight="false" outlineLevel="0" collapsed="false">
      <c r="A42" s="32"/>
      <c r="B42" s="33" t="n">
        <v>45139</v>
      </c>
      <c r="C42" s="34" t="n">
        <v>0.037</v>
      </c>
      <c r="D42" s="40" t="n">
        <v>595191</v>
      </c>
    </row>
    <row r="43" customFormat="false" ht="14.25" hidden="false" customHeight="false" outlineLevel="0" collapsed="false">
      <c r="A43" s="32"/>
      <c r="B43" s="37" t="n">
        <v>45108</v>
      </c>
      <c r="C43" s="38" t="n">
        <v>0.035</v>
      </c>
      <c r="D43" s="39" t="n">
        <v>589257</v>
      </c>
    </row>
    <row r="44" customFormat="false" ht="14.25" hidden="false" customHeight="false" outlineLevel="0" collapsed="false">
      <c r="A44" s="32"/>
      <c r="B44" s="33" t="n">
        <v>45078</v>
      </c>
      <c r="C44" s="34" t="n">
        <v>0.036</v>
      </c>
      <c r="D44" s="40" t="n">
        <v>588670</v>
      </c>
    </row>
    <row r="45" customFormat="false" ht="14.25" hidden="false" customHeight="false" outlineLevel="0" collapsed="false">
      <c r="A45" s="32"/>
      <c r="B45" s="37" t="n">
        <v>45047</v>
      </c>
      <c r="C45" s="38" t="n">
        <v>0.036</v>
      </c>
      <c r="D45" s="39" t="n">
        <v>586286</v>
      </c>
    </row>
    <row r="46" customFormat="false" ht="14.25" hidden="false" customHeight="false" outlineLevel="0" collapsed="false">
      <c r="A46" s="32"/>
      <c r="B46" s="33" t="n">
        <v>45017</v>
      </c>
      <c r="C46" s="34" t="n">
        <v>0.034</v>
      </c>
      <c r="D46" s="40" t="n">
        <v>583874</v>
      </c>
    </row>
    <row r="47" customFormat="false" ht="14.25" hidden="false" customHeight="false" outlineLevel="0" collapsed="false">
      <c r="A47" s="32"/>
      <c r="B47" s="37" t="n">
        <v>44986</v>
      </c>
      <c r="C47" s="38" t="n">
        <v>0.035</v>
      </c>
      <c r="D47" s="39" t="n">
        <v>578812</v>
      </c>
    </row>
    <row r="48" customFormat="false" ht="14.25" hidden="false" customHeight="false" outlineLevel="0" collapsed="false">
      <c r="A48" s="32"/>
      <c r="B48" s="33" t="n">
        <v>44958</v>
      </c>
      <c r="C48" s="34" t="n">
        <v>0.036</v>
      </c>
      <c r="D48" s="40" t="n">
        <v>586165</v>
      </c>
    </row>
    <row r="49" customFormat="false" ht="14.25" hidden="false" customHeight="false" outlineLevel="0" collapsed="false">
      <c r="A49" s="32"/>
      <c r="B49" s="37" t="n">
        <v>44927</v>
      </c>
      <c r="C49" s="38" t="n">
        <v>0.035</v>
      </c>
      <c r="D49" s="39" t="n">
        <v>591964</v>
      </c>
    </row>
    <row r="50" customFormat="false" ht="14.25" hidden="false" customHeight="false" outlineLevel="0" collapsed="false">
      <c r="A50" s="32"/>
      <c r="B50" s="33" t="n">
        <v>44896</v>
      </c>
      <c r="C50" s="34" t="n">
        <v>0.035</v>
      </c>
      <c r="D50" s="40" t="n">
        <v>569119</v>
      </c>
    </row>
    <row r="51" customFormat="false" ht="14.25" hidden="false" customHeight="false" outlineLevel="0" collapsed="false">
      <c r="A51" s="32"/>
      <c r="B51" s="37" t="n">
        <v>44866</v>
      </c>
      <c r="C51" s="38" t="n">
        <v>0.036</v>
      </c>
      <c r="D51" s="39" t="n">
        <v>576356</v>
      </c>
    </row>
    <row r="52" customFormat="false" ht="14.25" hidden="false" customHeight="false" outlineLevel="0" collapsed="false">
      <c r="A52" s="32"/>
      <c r="B52" s="33" t="n">
        <v>44835</v>
      </c>
      <c r="C52" s="34" t="n">
        <v>0.036</v>
      </c>
      <c r="D52" s="40" t="n">
        <v>585006</v>
      </c>
    </row>
    <row r="53" customFormat="false" ht="14.25" hidden="false" customHeight="false" outlineLevel="0" collapsed="false">
      <c r="A53" s="32"/>
      <c r="B53" s="37" t="n">
        <v>44805</v>
      </c>
      <c r="C53" s="38" t="n">
        <v>0.035</v>
      </c>
      <c r="D53" s="39" t="n">
        <v>579446</v>
      </c>
    </row>
    <row r="54" customFormat="false" ht="14.25" hidden="false" customHeight="false" outlineLevel="0" collapsed="false">
      <c r="A54" s="32"/>
      <c r="B54" s="33" t="n">
        <v>44774</v>
      </c>
      <c r="C54" s="34" t="n">
        <v>0.036</v>
      </c>
      <c r="D54" s="40" t="n">
        <v>581196</v>
      </c>
    </row>
    <row r="55" customFormat="false" ht="14.25" hidden="false" customHeight="false" outlineLevel="0" collapsed="false">
      <c r="A55" s="32"/>
      <c r="B55" s="37" t="n">
        <v>44743</v>
      </c>
      <c r="C55" s="38" t="n">
        <v>0.035</v>
      </c>
      <c r="D55" s="39" t="n">
        <v>579267</v>
      </c>
    </row>
    <row r="56" customFormat="false" ht="14.25" hidden="false" customHeight="false" outlineLevel="0" collapsed="false">
      <c r="A56" s="32"/>
      <c r="B56" s="33" t="n">
        <v>44713</v>
      </c>
      <c r="C56" s="34" t="n">
        <v>0.036</v>
      </c>
      <c r="D56" s="40" t="n">
        <v>585556</v>
      </c>
    </row>
    <row r="57" customFormat="false" ht="14.25" hidden="false" customHeight="false" outlineLevel="0" collapsed="false">
      <c r="A57" s="32"/>
      <c r="B57" s="37" t="n">
        <v>44682</v>
      </c>
      <c r="C57" s="38" t="n">
        <v>0.036</v>
      </c>
      <c r="D57" s="39" t="n">
        <v>579844</v>
      </c>
    </row>
    <row r="58" customFormat="false" ht="14.25" hidden="false" customHeight="false" outlineLevel="0" collapsed="false">
      <c r="A58" s="32"/>
      <c r="B58" s="33" t="n">
        <v>44652</v>
      </c>
      <c r="C58" s="34" t="n">
        <v>0.037</v>
      </c>
      <c r="D58" s="40" t="n">
        <v>580943</v>
      </c>
    </row>
    <row r="59" customFormat="false" ht="14.25" hidden="false" customHeight="false" outlineLevel="0" collapsed="false">
      <c r="A59" s="32"/>
      <c r="B59" s="37" t="n">
        <v>44621</v>
      </c>
      <c r="C59" s="38" t="n">
        <v>0.037</v>
      </c>
      <c r="D59" s="39" t="n">
        <v>574485</v>
      </c>
    </row>
    <row r="60" customFormat="false" ht="14.25" hidden="false" customHeight="false" outlineLevel="0" collapsed="false">
      <c r="A60" s="32"/>
      <c r="B60" s="33" t="n">
        <v>44593</v>
      </c>
      <c r="C60" s="34" t="n">
        <v>0.039</v>
      </c>
      <c r="D60" s="40" t="n">
        <v>563777</v>
      </c>
    </row>
    <row r="61" customFormat="false" ht="14.25" hidden="false" customHeight="false" outlineLevel="0" collapsed="false">
      <c r="A61" s="32"/>
      <c r="B61" s="37" t="n">
        <v>44562</v>
      </c>
      <c r="C61" s="38" t="n">
        <v>0.04</v>
      </c>
      <c r="D61" s="39" t="n">
        <v>560257</v>
      </c>
    </row>
    <row r="62" customFormat="false" ht="14.25" hidden="false" customHeight="false" outlineLevel="0" collapsed="false">
      <c r="A62" s="32"/>
      <c r="B62" s="33" t="n">
        <v>44531</v>
      </c>
      <c r="C62" s="34" t="n">
        <v>0.039</v>
      </c>
      <c r="D62" s="40" t="n">
        <v>547277</v>
      </c>
    </row>
    <row r="63" customFormat="false" ht="14.25" hidden="false" customHeight="false" outlineLevel="0" collapsed="false">
      <c r="A63" s="32"/>
      <c r="B63" s="37" t="n">
        <v>44501</v>
      </c>
      <c r="C63" s="38" t="n">
        <v>0.041</v>
      </c>
      <c r="D63" s="39" t="n">
        <v>551082</v>
      </c>
    </row>
    <row r="64" customFormat="false" ht="14.25" hidden="false" customHeight="false" outlineLevel="0" collapsed="false">
      <c r="A64" s="32"/>
      <c r="B64" s="33" t="n">
        <v>44470</v>
      </c>
      <c r="C64" s="34" t="n">
        <v>0.045</v>
      </c>
      <c r="D64" s="40" t="n">
        <v>545361</v>
      </c>
    </row>
    <row r="65" customFormat="false" ht="14.25" hidden="false" customHeight="false" outlineLevel="0" collapsed="false">
      <c r="A65" s="32"/>
      <c r="B65" s="37" t="n">
        <v>44440</v>
      </c>
      <c r="C65" s="38" t="n">
        <v>0.047</v>
      </c>
      <c r="D65" s="39" t="n">
        <v>536651</v>
      </c>
    </row>
    <row r="66" customFormat="false" ht="14.25" hidden="false" customHeight="false" outlineLevel="0" collapsed="false">
      <c r="A66" s="32"/>
      <c r="B66" s="33" t="n">
        <v>44409</v>
      </c>
      <c r="C66" s="34" t="n">
        <v>0.051</v>
      </c>
      <c r="D66" s="40" t="n">
        <v>532477</v>
      </c>
    </row>
    <row r="67" customFormat="false" ht="14.25" hidden="false" customHeight="false" outlineLevel="0" collapsed="false">
      <c r="A67" s="32"/>
      <c r="B67" s="37" t="n">
        <v>44378</v>
      </c>
      <c r="C67" s="38" t="n">
        <v>0.054</v>
      </c>
      <c r="D67" s="39" t="n">
        <v>528600</v>
      </c>
    </row>
    <row r="68" customFormat="false" ht="14.25" hidden="false" customHeight="false" outlineLevel="0" collapsed="false">
      <c r="A68" s="32"/>
      <c r="B68" s="33" t="n">
        <v>44348</v>
      </c>
      <c r="C68" s="34" t="n">
        <v>0.059</v>
      </c>
      <c r="D68" s="40" t="n">
        <v>540152</v>
      </c>
    </row>
    <row r="69" customFormat="false" ht="14.25" hidden="false" customHeight="false" outlineLevel="0" collapsed="false">
      <c r="A69" s="32"/>
      <c r="B69" s="37" t="n">
        <v>44317</v>
      </c>
      <c r="C69" s="38" t="n">
        <v>0.058</v>
      </c>
      <c r="D69" s="39" t="n">
        <v>536589</v>
      </c>
    </row>
    <row r="70" customFormat="false" ht="14.25" hidden="false" customHeight="false" outlineLevel="0" collapsed="false">
      <c r="A70" s="32"/>
      <c r="B70" s="33" t="n">
        <v>44287</v>
      </c>
      <c r="C70" s="34" t="n">
        <v>0.061</v>
      </c>
      <c r="D70" s="40" t="n">
        <v>542199</v>
      </c>
    </row>
    <row r="71" customFormat="false" ht="14.25" hidden="false" customHeight="false" outlineLevel="0" collapsed="false">
      <c r="A71" s="32"/>
      <c r="B71" s="37" t="n">
        <v>44256</v>
      </c>
      <c r="C71" s="38" t="n">
        <v>0.061</v>
      </c>
      <c r="D71" s="39" t="n">
        <v>539607</v>
      </c>
    </row>
    <row r="72" customFormat="false" ht="14.25" hidden="false" customHeight="false" outlineLevel="0" collapsed="false">
      <c r="A72" s="32"/>
      <c r="B72" s="33" t="n">
        <v>44228</v>
      </c>
      <c r="C72" s="34" t="n">
        <v>0.062</v>
      </c>
      <c r="D72" s="40" t="n">
        <v>488805</v>
      </c>
    </row>
    <row r="73" customFormat="false" ht="14.25" hidden="false" customHeight="false" outlineLevel="0" collapsed="false">
      <c r="A73" s="32"/>
      <c r="B73" s="37" t="n">
        <v>44197</v>
      </c>
      <c r="C73" s="38" t="n">
        <v>0.064</v>
      </c>
      <c r="D73" s="39" t="n">
        <v>501604</v>
      </c>
    </row>
    <row r="74" customFormat="false" ht="14.25" hidden="false" customHeight="false" outlineLevel="0" collapsed="false">
      <c r="A74" s="32"/>
      <c r="B74" s="33" t="n">
        <v>44166</v>
      </c>
      <c r="C74" s="34" t="n">
        <v>0.067</v>
      </c>
      <c r="D74" s="40" t="n">
        <v>485949</v>
      </c>
    </row>
    <row r="75" customFormat="false" ht="14.25" hidden="false" customHeight="false" outlineLevel="0" collapsed="false">
      <c r="A75" s="32"/>
      <c r="B75" s="37" t="n">
        <v>44136</v>
      </c>
      <c r="C75" s="38" t="n">
        <v>0.067</v>
      </c>
      <c r="D75" s="39" t="n">
        <v>478079</v>
      </c>
    </row>
    <row r="76" customFormat="false" ht="14.25" hidden="false" customHeight="false" outlineLevel="0" collapsed="false">
      <c r="A76" s="32"/>
      <c r="B76" s="33" t="n">
        <v>44105</v>
      </c>
      <c r="C76" s="34" t="n">
        <v>0.069</v>
      </c>
      <c r="D76" s="40" t="n">
        <v>480763</v>
      </c>
    </row>
    <row r="77" customFormat="false" ht="14.25" hidden="false" customHeight="false" outlineLevel="0" collapsed="false">
      <c r="A77" s="32"/>
      <c r="B77" s="37" t="n">
        <v>44075</v>
      </c>
      <c r="C77" s="38" t="n">
        <v>0.078</v>
      </c>
      <c r="D77" s="39" t="n">
        <v>482702</v>
      </c>
    </row>
    <row r="78" customFormat="false" ht="14.25" hidden="false" customHeight="false" outlineLevel="0" collapsed="false">
      <c r="A78" s="32"/>
      <c r="B78" s="33" t="n">
        <v>44044</v>
      </c>
      <c r="C78" s="34" t="n">
        <v>0.084</v>
      </c>
      <c r="D78" s="40" t="n">
        <v>473696</v>
      </c>
    </row>
    <row r="79" customFormat="false" ht="14.25" hidden="false" customHeight="false" outlineLevel="0" collapsed="false">
      <c r="A79" s="32"/>
      <c r="B79" s="37" t="n">
        <v>44013</v>
      </c>
      <c r="C79" s="38" t="n">
        <v>0.102</v>
      </c>
      <c r="D79" s="39" t="n">
        <v>471873</v>
      </c>
    </row>
    <row r="80" customFormat="false" ht="14.25" hidden="false" customHeight="false" outlineLevel="0" collapsed="false">
      <c r="A80" s="32"/>
      <c r="B80" s="33" t="n">
        <v>43983</v>
      </c>
      <c r="C80" s="34" t="n">
        <v>0.11</v>
      </c>
      <c r="D80" s="40" t="n">
        <v>465800</v>
      </c>
    </row>
    <row r="81" customFormat="false" ht="14.25" hidden="false" customHeight="false" outlineLevel="0" collapsed="false">
      <c r="A81" s="32"/>
      <c r="B81" s="37" t="n">
        <v>43952</v>
      </c>
      <c r="C81" s="38" t="n">
        <v>0.132</v>
      </c>
      <c r="D81" s="39" t="n">
        <v>437957</v>
      </c>
    </row>
    <row r="82" customFormat="false" ht="14.25" hidden="false" customHeight="false" outlineLevel="0" collapsed="false">
      <c r="A82" s="32"/>
      <c r="B82" s="33" t="n">
        <v>43922</v>
      </c>
      <c r="C82" s="34" t="n">
        <v>0.148</v>
      </c>
      <c r="D82" s="40" t="n">
        <v>370296</v>
      </c>
    </row>
    <row r="83" customFormat="false" ht="14.25" hidden="false" customHeight="false" outlineLevel="0" collapsed="false">
      <c r="A83" s="32"/>
      <c r="B83" s="37" t="n">
        <v>43891</v>
      </c>
      <c r="C83" s="38" t="n">
        <v>0.044</v>
      </c>
      <c r="D83" s="39" t="n">
        <v>420954</v>
      </c>
    </row>
    <row r="84" customFormat="false" ht="14.25" hidden="false" customHeight="false" outlineLevel="0" collapsed="false">
      <c r="A84" s="32"/>
      <c r="B84" s="33" t="n">
        <v>43862</v>
      </c>
      <c r="C84" s="34" t="n">
        <v>0.035</v>
      </c>
      <c r="D84" s="40" t="n">
        <v>447972</v>
      </c>
    </row>
    <row r="85" customFormat="false" ht="14.25" hidden="false" customHeight="false" outlineLevel="0" collapsed="false">
      <c r="A85" s="32"/>
      <c r="B85" s="37" t="n">
        <v>43831</v>
      </c>
      <c r="C85" s="38" t="n">
        <v>0.036</v>
      </c>
      <c r="D85" s="39" t="n">
        <v>447774</v>
      </c>
    </row>
    <row r="86" customFormat="false" ht="14.25" hidden="false" customHeight="false" outlineLevel="0" collapsed="false">
      <c r="A86" s="32"/>
      <c r="B86" s="33" t="n">
        <v>43800</v>
      </c>
      <c r="C86" s="34" t="n">
        <v>0.036</v>
      </c>
      <c r="D86" s="40" t="n">
        <v>449643</v>
      </c>
    </row>
    <row r="87" customFormat="false" ht="14.25" hidden="false" customHeight="false" outlineLevel="0" collapsed="false">
      <c r="A87" s="32"/>
      <c r="B87" s="37" t="n">
        <v>43770</v>
      </c>
      <c r="C87" s="38" t="n">
        <v>0.036</v>
      </c>
      <c r="D87" s="39" t="n">
        <v>449040</v>
      </c>
    </row>
    <row r="88" customFormat="false" ht="14.25" hidden="false" customHeight="false" outlineLevel="0" collapsed="false">
      <c r="A88" s="32"/>
      <c r="B88" s="33" t="n">
        <v>43739</v>
      </c>
      <c r="C88" s="34" t="n">
        <v>0.036</v>
      </c>
      <c r="D88" s="40" t="n">
        <v>445627</v>
      </c>
    </row>
    <row r="89" customFormat="false" ht="14.25" hidden="false" customHeight="false" outlineLevel="0" collapsed="false">
      <c r="A89" s="32"/>
      <c r="B89" s="37" t="n">
        <v>43709</v>
      </c>
      <c r="C89" s="38" t="n">
        <v>0.035</v>
      </c>
      <c r="D89" s="39" t="n">
        <v>444555</v>
      </c>
    </row>
    <row r="90" customFormat="false" ht="14.25" hidden="false" customHeight="false" outlineLevel="0" collapsed="false">
      <c r="A90" s="32"/>
      <c r="B90" s="33" t="n">
        <v>43678</v>
      </c>
      <c r="C90" s="34" t="n">
        <v>0.036</v>
      </c>
      <c r="D90" s="40" t="n">
        <v>448519</v>
      </c>
    </row>
    <row r="91" customFormat="false" ht="14.25" hidden="false" customHeight="false" outlineLevel="0" collapsed="false">
      <c r="A91" s="32"/>
      <c r="B91" s="37" t="n">
        <v>43647</v>
      </c>
      <c r="C91" s="38" t="n">
        <v>0.037</v>
      </c>
      <c r="D91" s="39" t="n">
        <v>445304</v>
      </c>
    </row>
    <row r="92" customFormat="false" ht="14.25" hidden="false" customHeight="false" outlineLevel="0" collapsed="false">
      <c r="A92" s="32"/>
      <c r="B92" s="33" t="n">
        <v>43617</v>
      </c>
      <c r="C92" s="34" t="n">
        <v>0.036</v>
      </c>
      <c r="D92" s="40" t="n">
        <v>442116</v>
      </c>
    </row>
    <row r="93" customFormat="false" ht="14.25" hidden="false" customHeight="false" outlineLevel="0" collapsed="false">
      <c r="A93" s="32"/>
      <c r="B93" s="37" t="n">
        <v>43586</v>
      </c>
      <c r="C93" s="38" t="n">
        <v>0.036</v>
      </c>
      <c r="D93" s="39" t="n">
        <v>442514</v>
      </c>
    </row>
    <row r="94" customFormat="false" ht="14.25" hidden="false" customHeight="false" outlineLevel="0" collapsed="false">
      <c r="A94" s="32"/>
      <c r="B94" s="33" t="n">
        <v>43556</v>
      </c>
      <c r="C94" s="34" t="n">
        <v>0.037</v>
      </c>
      <c r="D94" s="40" t="n">
        <v>437735</v>
      </c>
    </row>
    <row r="95" customFormat="false" ht="14.25" hidden="false" customHeight="false" outlineLevel="0" collapsed="false">
      <c r="A95" s="32"/>
      <c r="B95" s="37" t="n">
        <v>43525</v>
      </c>
      <c r="C95" s="38" t="n">
        <v>0.038</v>
      </c>
      <c r="D95" s="39" t="n">
        <v>438196</v>
      </c>
    </row>
    <row r="96" customFormat="false" ht="14.25" hidden="false" customHeight="false" outlineLevel="0" collapsed="false">
      <c r="A96" s="32"/>
      <c r="B96" s="33" t="n">
        <v>43497</v>
      </c>
      <c r="C96" s="34" t="n">
        <v>0.038</v>
      </c>
      <c r="D96" s="40" t="n">
        <v>431194</v>
      </c>
    </row>
    <row r="97" customFormat="false" ht="14.25" hidden="false" customHeight="false" outlineLevel="0" collapsed="false">
      <c r="A97" s="32"/>
      <c r="B97" s="37" t="n">
        <v>43466</v>
      </c>
      <c r="C97" s="38" t="n">
        <v>0.04</v>
      </c>
      <c r="D97" s="39" t="n">
        <v>430246</v>
      </c>
    </row>
    <row r="98" customFormat="false" ht="14.25" hidden="false" customHeight="false" outlineLevel="0" collapsed="false">
      <c r="A98" s="32"/>
      <c r="B98" s="33" t="n">
        <v>43435</v>
      </c>
      <c r="C98" s="34" t="n">
        <v>0.039</v>
      </c>
      <c r="D98" s="40" t="n">
        <v>428932</v>
      </c>
    </row>
    <row r="99" customFormat="false" ht="14.25" hidden="false" customHeight="false" outlineLevel="0" collapsed="false">
      <c r="A99" s="32"/>
      <c r="B99" s="37" t="n">
        <v>43405</v>
      </c>
      <c r="C99" s="38" t="n">
        <v>0.038</v>
      </c>
      <c r="D99" s="39" t="n">
        <v>438612</v>
      </c>
    </row>
    <row r="100" customFormat="false" ht="14.25" hidden="false" customHeight="false" outlineLevel="0" collapsed="false">
      <c r="A100" s="32"/>
      <c r="B100" s="33" t="n">
        <v>43374</v>
      </c>
      <c r="C100" s="34" t="n">
        <v>0.038</v>
      </c>
      <c r="D100" s="40" t="n">
        <v>435894</v>
      </c>
    </row>
    <row r="101" customFormat="false" ht="14.25" hidden="false" customHeight="false" outlineLevel="0" collapsed="false">
      <c r="A101" s="32"/>
      <c r="B101" s="37" t="n">
        <v>43344</v>
      </c>
      <c r="C101" s="38" t="n">
        <v>0.037</v>
      </c>
      <c r="D101" s="39" t="n">
        <v>431438</v>
      </c>
    </row>
    <row r="102" customFormat="false" ht="14.25" hidden="false" customHeight="false" outlineLevel="0" collapsed="false">
      <c r="A102" s="32"/>
      <c r="B102" s="33" t="n">
        <v>43313</v>
      </c>
      <c r="C102" s="34" t="n">
        <v>0.038</v>
      </c>
      <c r="D102" s="40" t="n">
        <v>432031</v>
      </c>
    </row>
    <row r="103" customFormat="false" ht="14.25" hidden="false" customHeight="false" outlineLevel="0" collapsed="false">
      <c r="A103" s="32"/>
      <c r="B103" s="37" t="n">
        <v>43282</v>
      </c>
      <c r="C103" s="38" t="n">
        <v>0.038</v>
      </c>
      <c r="D103" s="39" t="n">
        <v>432070</v>
      </c>
    </row>
    <row r="104" customFormat="false" ht="14.25" hidden="false" customHeight="false" outlineLevel="0" collapsed="false">
      <c r="A104" s="32"/>
      <c r="B104" s="33" t="n">
        <v>43252</v>
      </c>
      <c r="C104" s="34" t="n">
        <v>0.04</v>
      </c>
      <c r="D104" s="40" t="n">
        <v>430008</v>
      </c>
    </row>
    <row r="105" customFormat="false" ht="14.25" hidden="false" customHeight="false" outlineLevel="0" collapsed="false">
      <c r="A105" s="32"/>
      <c r="B105" s="37" t="n">
        <v>43221</v>
      </c>
      <c r="C105" s="38" t="n">
        <v>0.038</v>
      </c>
      <c r="D105" s="39" t="n">
        <v>432340</v>
      </c>
    </row>
    <row r="106" customFormat="false" ht="14.25" hidden="false" customHeight="false" outlineLevel="0" collapsed="false">
      <c r="A106" s="32"/>
      <c r="B106" s="33" t="n">
        <v>43191</v>
      </c>
      <c r="C106" s="34" t="n">
        <v>0.04</v>
      </c>
      <c r="D106" s="40" t="n">
        <v>425899</v>
      </c>
    </row>
    <row r="107" customFormat="false" ht="14.25" hidden="false" customHeight="false" outlineLevel="0" collapsed="false">
      <c r="A107" s="32"/>
      <c r="B107" s="37" t="n">
        <v>43160</v>
      </c>
      <c r="C107" s="38" t="n">
        <v>0.04</v>
      </c>
      <c r="D107" s="39" t="n">
        <v>425087</v>
      </c>
    </row>
    <row r="108" customFormat="false" ht="14.25" hidden="false" customHeight="false" outlineLevel="0" collapsed="false">
      <c r="A108" s="32"/>
      <c r="B108" s="33" t="n">
        <v>43132</v>
      </c>
      <c r="C108" s="34" t="n">
        <v>0.041</v>
      </c>
      <c r="D108" s="40" t="n">
        <v>425507</v>
      </c>
    </row>
    <row r="109" customFormat="false" ht="14.25" hidden="false" customHeight="false" outlineLevel="0" collapsed="false">
      <c r="A109" s="32"/>
      <c r="B109" s="37" t="n">
        <v>43101</v>
      </c>
      <c r="C109" s="38" t="n">
        <v>0.04</v>
      </c>
      <c r="D109" s="39" t="n">
        <v>423202</v>
      </c>
    </row>
    <row r="110" customFormat="false" ht="14.25" hidden="false" customHeight="false" outlineLevel="0" collapsed="false">
      <c r="A110" s="32"/>
      <c r="B110" s="33" t="n">
        <v>43070</v>
      </c>
      <c r="C110" s="34" t="n">
        <v>0.041</v>
      </c>
      <c r="D110" s="40" t="n">
        <v>425545</v>
      </c>
    </row>
    <row r="111" customFormat="false" ht="14.25" hidden="false" customHeight="false" outlineLevel="0" collapsed="false">
      <c r="A111" s="32"/>
      <c r="B111" s="37" t="n">
        <v>43040</v>
      </c>
      <c r="C111" s="38" t="n">
        <v>0.042</v>
      </c>
      <c r="D111" s="39" t="n">
        <v>423224</v>
      </c>
    </row>
    <row r="112" customFormat="false" ht="14.25" hidden="false" customHeight="false" outlineLevel="0" collapsed="false">
      <c r="A112" s="32"/>
      <c r="B112" s="33" t="n">
        <v>43009</v>
      </c>
      <c r="C112" s="34" t="n">
        <v>0.042</v>
      </c>
      <c r="D112" s="40" t="n">
        <v>418999</v>
      </c>
    </row>
    <row r="113" customFormat="false" ht="14.25" hidden="false" customHeight="false" outlineLevel="0" collapsed="false">
      <c r="A113" s="32"/>
      <c r="B113" s="37" t="n">
        <v>42979</v>
      </c>
      <c r="C113" s="38" t="n">
        <v>0.043</v>
      </c>
      <c r="D113" s="39" t="n">
        <v>419021</v>
      </c>
    </row>
    <row r="114" customFormat="false" ht="14.25" hidden="false" customHeight="false" outlineLevel="0" collapsed="false">
      <c r="A114" s="32"/>
      <c r="B114" s="33" t="n">
        <v>42948</v>
      </c>
      <c r="C114" s="34" t="n">
        <v>0.044</v>
      </c>
      <c r="D114" s="40" t="n">
        <v>409606</v>
      </c>
    </row>
    <row r="115" customFormat="false" ht="14.25" hidden="false" customHeight="false" outlineLevel="0" collapsed="false">
      <c r="A115" s="32"/>
      <c r="B115" s="37" t="n">
        <v>42917</v>
      </c>
      <c r="C115" s="38" t="n">
        <v>0.043</v>
      </c>
      <c r="D115" s="39" t="n">
        <v>409113</v>
      </c>
    </row>
    <row r="116" customFormat="false" ht="14.25" hidden="false" customHeight="false" outlineLevel="0" collapsed="false">
      <c r="A116" s="32"/>
      <c r="B116" s="33" t="n">
        <v>42887</v>
      </c>
      <c r="C116" s="34" t="n">
        <v>0.043</v>
      </c>
      <c r="D116" s="40" t="n">
        <v>409067</v>
      </c>
    </row>
    <row r="117" customFormat="false" ht="14.25" hidden="false" customHeight="false" outlineLevel="0" collapsed="false">
      <c r="A117" s="32"/>
      <c r="B117" s="37" t="n">
        <v>42856</v>
      </c>
      <c r="C117" s="38" t="n">
        <v>0.044</v>
      </c>
      <c r="D117" s="39" t="n">
        <v>406609</v>
      </c>
    </row>
    <row r="118" customFormat="false" ht="14.25" hidden="false" customHeight="false" outlineLevel="0" collapsed="false">
      <c r="A118" s="32"/>
      <c r="B118" s="33" t="n">
        <v>42826</v>
      </c>
      <c r="C118" s="34" t="n">
        <v>0.044</v>
      </c>
      <c r="D118" s="40" t="n">
        <v>409134</v>
      </c>
    </row>
    <row r="119" customFormat="false" ht="14.25" hidden="false" customHeight="false" outlineLevel="0" collapsed="false">
      <c r="A119" s="32"/>
      <c r="B119" s="37" t="n">
        <v>42795</v>
      </c>
      <c r="C119" s="38" t="n">
        <v>0.044</v>
      </c>
      <c r="D119" s="39" t="n">
        <v>407630</v>
      </c>
    </row>
    <row r="120" customFormat="false" ht="14.25" hidden="false" customHeight="false" outlineLevel="0" collapsed="false">
      <c r="A120" s="32"/>
      <c r="B120" s="33" t="n">
        <v>42767</v>
      </c>
      <c r="C120" s="34" t="n">
        <v>0.046</v>
      </c>
      <c r="D120" s="40" t="n">
        <v>408155</v>
      </c>
    </row>
    <row r="121" customFormat="false" ht="14.25" hidden="false" customHeight="false" outlineLevel="0" collapsed="false">
      <c r="A121" s="32"/>
      <c r="B121" s="37" t="n">
        <v>42736</v>
      </c>
      <c r="C121" s="38" t="n">
        <v>0.047</v>
      </c>
      <c r="D121" s="39" t="n">
        <v>408269</v>
      </c>
    </row>
    <row r="122" customFormat="false" ht="14.25" hidden="false" customHeight="false" outlineLevel="0" collapsed="false">
      <c r="A122" s="32"/>
      <c r="B122" s="33" t="n">
        <v>42705</v>
      </c>
      <c r="C122" s="34" t="n">
        <v>0.047</v>
      </c>
      <c r="D122" s="40" t="n">
        <v>405114</v>
      </c>
    </row>
    <row r="123" customFormat="false" ht="14.25" hidden="false" customHeight="false" outlineLevel="0" collapsed="false">
      <c r="A123" s="32"/>
      <c r="B123" s="37" t="n">
        <v>42675</v>
      </c>
      <c r="C123" s="38" t="n">
        <v>0.047</v>
      </c>
      <c r="D123" s="39" t="n">
        <v>398680</v>
      </c>
    </row>
    <row r="124" customFormat="false" ht="14.25" hidden="false" customHeight="false" outlineLevel="0" collapsed="false">
      <c r="A124" s="32"/>
      <c r="B124" s="33" t="n">
        <v>42644</v>
      </c>
      <c r="C124" s="34" t="n">
        <v>0.049</v>
      </c>
      <c r="D124" s="40" t="n">
        <v>399637</v>
      </c>
    </row>
    <row r="125" customFormat="false" ht="14.25" hidden="false" customHeight="false" outlineLevel="0" collapsed="false">
      <c r="A125" s="32"/>
      <c r="B125" s="37" t="n">
        <v>42614</v>
      </c>
      <c r="C125" s="38" t="n">
        <v>0.05</v>
      </c>
      <c r="D125" s="39" t="n">
        <v>398797</v>
      </c>
    </row>
    <row r="126" customFormat="false" ht="14.25" hidden="false" customHeight="false" outlineLevel="0" collapsed="false">
      <c r="A126" s="32"/>
      <c r="B126" s="33" t="n">
        <v>42583</v>
      </c>
      <c r="C126" s="34" t="n">
        <v>0.049</v>
      </c>
      <c r="D126" s="40" t="n">
        <v>396293</v>
      </c>
    </row>
    <row r="127" customFormat="false" ht="14.25" hidden="false" customHeight="false" outlineLevel="0" collapsed="false">
      <c r="A127" s="32"/>
      <c r="B127" s="37" t="n">
        <v>42552</v>
      </c>
      <c r="C127" s="38" t="n">
        <v>0.048</v>
      </c>
      <c r="D127" s="39" t="n">
        <v>396545</v>
      </c>
    </row>
    <row r="128" customFormat="false" ht="14.25" hidden="false" customHeight="false" outlineLevel="0" collapsed="false">
      <c r="A128" s="32"/>
      <c r="B128" s="33" t="n">
        <v>42522</v>
      </c>
      <c r="C128" s="34" t="n">
        <v>0.049</v>
      </c>
      <c r="D128" s="40" t="n">
        <v>397113</v>
      </c>
    </row>
    <row r="129" customFormat="false" ht="14.25" hidden="false" customHeight="false" outlineLevel="0" collapsed="false">
      <c r="A129" s="32"/>
      <c r="B129" s="37" t="n">
        <v>42491</v>
      </c>
      <c r="C129" s="38" t="n">
        <v>0.048</v>
      </c>
      <c r="D129" s="39" t="n">
        <v>392299</v>
      </c>
    </row>
    <row r="130" customFormat="false" ht="14.25" hidden="false" customHeight="false" outlineLevel="0" collapsed="false">
      <c r="A130" s="32"/>
      <c r="B130" s="33" t="n">
        <v>42461</v>
      </c>
      <c r="C130" s="34" t="n">
        <v>0.051</v>
      </c>
      <c r="D130" s="40" t="n">
        <v>391112</v>
      </c>
    </row>
    <row r="131" customFormat="false" ht="14.25" hidden="false" customHeight="false" outlineLevel="0" collapsed="false">
      <c r="A131" s="32"/>
      <c r="B131" s="37" t="n">
        <v>42430</v>
      </c>
      <c r="C131" s="38" t="n">
        <v>0.05</v>
      </c>
      <c r="D131" s="39" t="n">
        <v>388998</v>
      </c>
    </row>
    <row r="132" customFormat="false" ht="14.25" hidden="false" customHeight="false" outlineLevel="0" collapsed="false">
      <c r="A132" s="32"/>
      <c r="B132" s="33" t="n">
        <v>42401</v>
      </c>
      <c r="C132" s="34" t="n">
        <v>0.049</v>
      </c>
      <c r="D132" s="40" t="n">
        <v>390029</v>
      </c>
    </row>
    <row r="133" customFormat="false" ht="14.25" hidden="false" customHeight="false" outlineLevel="0" collapsed="false">
      <c r="A133" s="32"/>
      <c r="B133" s="37" t="n">
        <v>42370</v>
      </c>
      <c r="C133" s="38" t="n">
        <v>0.048</v>
      </c>
      <c r="D133" s="39" t="n">
        <v>387483</v>
      </c>
    </row>
    <row r="134" customFormat="false" ht="14.25" hidden="false" customHeight="false" outlineLevel="0" collapsed="false">
      <c r="A134" s="32"/>
      <c r="B134" s="33" t="n">
        <v>42339</v>
      </c>
      <c r="C134" s="34" t="n">
        <v>0.05</v>
      </c>
      <c r="D134" s="40" t="n">
        <v>389551</v>
      </c>
    </row>
    <row r="135" customFormat="false" ht="14.25" hidden="false" customHeight="false" outlineLevel="0" collapsed="false">
      <c r="A135" s="32"/>
      <c r="B135" s="37" t="n">
        <v>42309</v>
      </c>
      <c r="C135" s="38" t="n">
        <v>0.051</v>
      </c>
      <c r="D135" s="39" t="n">
        <v>388530</v>
      </c>
    </row>
    <row r="136" customFormat="false" ht="14.25" hidden="false" customHeight="false" outlineLevel="0" collapsed="false">
      <c r="A136" s="32"/>
      <c r="B136" s="33" t="n">
        <v>42278</v>
      </c>
      <c r="C136" s="34" t="n">
        <v>0.05</v>
      </c>
      <c r="D136" s="40" t="n">
        <v>387066</v>
      </c>
    </row>
    <row r="137" customFormat="false" ht="14.25" hidden="false" customHeight="false" outlineLevel="0" collapsed="false">
      <c r="A137" s="32"/>
      <c r="B137" s="37" t="n">
        <v>42248</v>
      </c>
      <c r="C137" s="38" t="n">
        <v>0.05</v>
      </c>
      <c r="D137" s="39" t="n">
        <v>388551</v>
      </c>
    </row>
    <row r="138" customFormat="false" ht="14.25" hidden="false" customHeight="false" outlineLevel="0" collapsed="false">
      <c r="A138" s="32"/>
      <c r="B138" s="33" t="n">
        <v>42217</v>
      </c>
      <c r="C138" s="34" t="n">
        <v>0.051</v>
      </c>
      <c r="D138" s="40" t="n">
        <v>390570</v>
      </c>
    </row>
    <row r="139" customFormat="false" ht="14.25" hidden="false" customHeight="false" outlineLevel="0" collapsed="false">
      <c r="A139" s="32"/>
      <c r="B139" s="37" t="n">
        <v>42186</v>
      </c>
      <c r="C139" s="38" t="n">
        <v>0.052</v>
      </c>
      <c r="D139" s="39" t="n">
        <v>390953</v>
      </c>
    </row>
    <row r="140" customFormat="false" ht="14.25" hidden="false" customHeight="false" outlineLevel="0" collapsed="false">
      <c r="A140" s="32"/>
      <c r="B140" s="33" t="n">
        <v>42156</v>
      </c>
      <c r="C140" s="34" t="n">
        <v>0.053</v>
      </c>
      <c r="D140" s="40" t="n">
        <v>387199</v>
      </c>
    </row>
    <row r="141" customFormat="false" ht="14.25" hidden="false" customHeight="false" outlineLevel="0" collapsed="false">
      <c r="A141" s="32"/>
      <c r="B141" s="37" t="n">
        <v>42125</v>
      </c>
      <c r="C141" s="38" t="n">
        <v>0.056</v>
      </c>
      <c r="D141" s="39" t="n">
        <v>387155</v>
      </c>
    </row>
    <row r="142" customFormat="false" ht="14.25" hidden="false" customHeight="false" outlineLevel="0" collapsed="false">
      <c r="A142" s="32"/>
      <c r="B142" s="33" t="n">
        <v>42095</v>
      </c>
      <c r="C142" s="34" t="n">
        <v>0.054</v>
      </c>
      <c r="D142" s="40" t="n">
        <v>383893</v>
      </c>
    </row>
    <row r="143" customFormat="false" ht="14.25" hidden="false" customHeight="false" outlineLevel="0" collapsed="false">
      <c r="A143" s="32"/>
      <c r="B143" s="37" t="n">
        <v>42064</v>
      </c>
      <c r="C143" s="38" t="n">
        <v>0.054</v>
      </c>
      <c r="D143" s="39" t="n">
        <v>383681</v>
      </c>
    </row>
    <row r="144" customFormat="false" ht="14.25" hidden="false" customHeight="false" outlineLevel="0" collapsed="false">
      <c r="A144" s="32"/>
      <c r="B144" s="33" t="n">
        <v>42036</v>
      </c>
      <c r="C144" s="34" t="n">
        <v>0.055</v>
      </c>
      <c r="D144" s="40" t="n">
        <v>377594</v>
      </c>
    </row>
    <row r="145" customFormat="false" ht="14.25" hidden="false" customHeight="false" outlineLevel="0" collapsed="false">
      <c r="A145" s="32"/>
      <c r="B145" s="37" t="n">
        <v>42005</v>
      </c>
      <c r="C145" s="38" t="n">
        <v>0.057</v>
      </c>
      <c r="D145" s="39" t="n">
        <v>378518</v>
      </c>
    </row>
    <row r="146" customFormat="false" ht="14.25" hidden="false" customHeight="false" outlineLevel="0" collapsed="false">
      <c r="A146" s="32"/>
      <c r="B146" s="33" t="n">
        <v>41974</v>
      </c>
      <c r="C146" s="34" t="n">
        <v>0.056</v>
      </c>
      <c r="D146" s="40" t="n">
        <v>380682</v>
      </c>
    </row>
    <row r="147" customFormat="false" ht="14.25" hidden="false" customHeight="false" outlineLevel="0" collapsed="false">
      <c r="A147" s="32"/>
      <c r="B147" s="37" t="n">
        <v>41944</v>
      </c>
      <c r="C147" s="38" t="n">
        <v>0.058</v>
      </c>
      <c r="D147" s="39" t="n">
        <v>384459</v>
      </c>
    </row>
    <row r="148" customFormat="false" ht="14.25" hidden="false" customHeight="false" outlineLevel="0" collapsed="false">
      <c r="A148" s="32"/>
      <c r="B148" s="33" t="n">
        <v>41913</v>
      </c>
      <c r="C148" s="34" t="n">
        <v>0.057</v>
      </c>
      <c r="D148" s="40" t="n">
        <v>383323</v>
      </c>
    </row>
    <row r="149" customFormat="false" ht="14.25" hidden="false" customHeight="false" outlineLevel="0" collapsed="false">
      <c r="A149" s="32"/>
      <c r="B149" s="37" t="n">
        <v>41883</v>
      </c>
      <c r="C149" s="38" t="n">
        <v>0.059</v>
      </c>
      <c r="D149" s="39" t="n">
        <v>382277</v>
      </c>
    </row>
    <row r="150" customFormat="false" ht="14.25" hidden="false" customHeight="false" outlineLevel="0" collapsed="false">
      <c r="A150" s="32"/>
      <c r="B150" s="33" t="n">
        <v>41852</v>
      </c>
      <c r="C150" s="34" t="n">
        <v>0.061</v>
      </c>
      <c r="D150" s="40" t="n">
        <v>384017</v>
      </c>
    </row>
    <row r="151" customFormat="false" ht="14.25" hidden="false" customHeight="false" outlineLevel="0" collapsed="false">
      <c r="A151" s="32"/>
      <c r="B151" s="37" t="n">
        <v>41821</v>
      </c>
      <c r="C151" s="38" t="n">
        <v>0.062</v>
      </c>
      <c r="D151" s="39" t="n">
        <v>381045</v>
      </c>
    </row>
    <row r="152" customFormat="false" ht="14.25" hidden="false" customHeight="false" outlineLevel="0" collapsed="false">
      <c r="A152" s="32"/>
      <c r="B152" s="33" t="n">
        <v>41791</v>
      </c>
      <c r="C152" s="34" t="n">
        <v>0.061</v>
      </c>
      <c r="D152" s="40" t="n">
        <v>380618</v>
      </c>
    </row>
    <row r="153" customFormat="false" ht="14.25" hidden="false" customHeight="false" outlineLevel="0" collapsed="false">
      <c r="A153" s="32"/>
      <c r="B153" s="37" t="n">
        <v>41760</v>
      </c>
      <c r="C153" s="38" t="n">
        <v>0.063</v>
      </c>
      <c r="D153" s="39" t="n">
        <v>379787</v>
      </c>
    </row>
    <row r="154" customFormat="false" ht="14.25" hidden="false" customHeight="false" outlineLevel="0" collapsed="false">
      <c r="A154" s="32"/>
      <c r="B154" s="33" t="n">
        <v>41730</v>
      </c>
      <c r="C154" s="34" t="n">
        <v>0.062</v>
      </c>
      <c r="D154" s="40" t="n">
        <v>379432</v>
      </c>
    </row>
    <row r="155" customFormat="false" ht="14.25" hidden="false" customHeight="false" outlineLevel="0" collapsed="false">
      <c r="A155" s="32"/>
      <c r="B155" s="37" t="n">
        <v>41699</v>
      </c>
      <c r="C155" s="38" t="n">
        <v>0.067</v>
      </c>
      <c r="D155" s="39" t="n">
        <v>375285</v>
      </c>
    </row>
    <row r="156" customFormat="false" ht="14.25" hidden="false" customHeight="false" outlineLevel="0" collapsed="false">
      <c r="A156" s="32"/>
      <c r="B156" s="33" t="n">
        <v>41671</v>
      </c>
      <c r="C156" s="34" t="n">
        <v>0.067</v>
      </c>
      <c r="D156" s="40" t="n">
        <v>371335</v>
      </c>
    </row>
    <row r="157" customFormat="false" ht="14.25" hidden="false" customHeight="false" outlineLevel="0" collapsed="false">
      <c r="A157" s="32"/>
      <c r="B157" s="37" t="n">
        <v>41640</v>
      </c>
      <c r="C157" s="38" t="n">
        <v>0.066</v>
      </c>
      <c r="D157" s="39" t="n">
        <v>366684</v>
      </c>
    </row>
    <row r="158" customFormat="false" ht="14.25" hidden="false" customHeight="false" outlineLevel="0" collapsed="false">
      <c r="A158" s="32"/>
      <c r="B158" s="33" t="n">
        <v>41609</v>
      </c>
      <c r="C158" s="34" t="n">
        <v>0.067</v>
      </c>
      <c r="D158" s="40" t="n">
        <v>369499</v>
      </c>
    </row>
    <row r="159" customFormat="false" ht="14.25" hidden="false" customHeight="false" outlineLevel="0" collapsed="false">
      <c r="A159" s="32"/>
      <c r="B159" s="37" t="n">
        <v>41579</v>
      </c>
      <c r="C159" s="38" t="n">
        <v>0.069</v>
      </c>
      <c r="D159" s="39" t="n">
        <v>366868</v>
      </c>
    </row>
    <row r="160" customFormat="false" ht="14.25" hidden="false" customHeight="false" outlineLevel="0" collapsed="false">
      <c r="A160" s="32"/>
      <c r="B160" s="33" t="n">
        <v>41548</v>
      </c>
      <c r="C160" s="34" t="n">
        <v>0.072</v>
      </c>
      <c r="D160" s="40" t="n">
        <v>366444</v>
      </c>
    </row>
    <row r="161" customFormat="false" ht="14.25" hidden="false" customHeight="false" outlineLevel="0" collapsed="false">
      <c r="A161" s="32"/>
      <c r="B161" s="37" t="n">
        <v>41518</v>
      </c>
      <c r="C161" s="38" t="n">
        <v>0.072</v>
      </c>
      <c r="D161" s="39" t="n">
        <v>365668</v>
      </c>
    </row>
    <row r="162" customFormat="false" ht="14.25" hidden="false" customHeight="false" outlineLevel="0" collapsed="false">
      <c r="A162" s="32"/>
      <c r="B162" s="33" t="n">
        <v>41487</v>
      </c>
      <c r="C162" s="34" t="n">
        <v>0.072</v>
      </c>
      <c r="D162" s="40" t="n">
        <v>365543</v>
      </c>
    </row>
    <row r="163" customFormat="false" ht="14.25" hidden="false" customHeight="false" outlineLevel="0" collapsed="false">
      <c r="A163" s="32"/>
      <c r="B163" s="37" t="n">
        <v>41456</v>
      </c>
      <c r="C163" s="38" t="n">
        <v>0.073</v>
      </c>
      <c r="D163" s="39" t="n">
        <v>366243</v>
      </c>
    </row>
    <row r="164" customFormat="false" ht="14.25" hidden="false" customHeight="false" outlineLevel="0" collapsed="false">
      <c r="A164" s="32"/>
      <c r="B164" s="33" t="n">
        <v>41426</v>
      </c>
      <c r="C164" s="34" t="n">
        <v>0.075</v>
      </c>
      <c r="D164" s="40" t="n">
        <v>364181</v>
      </c>
    </row>
    <row r="165" customFormat="false" ht="14.25" hidden="false" customHeight="false" outlineLevel="0" collapsed="false">
      <c r="A165" s="32"/>
      <c r="B165" s="37" t="n">
        <v>41395</v>
      </c>
      <c r="C165" s="38" t="n">
        <v>0.075</v>
      </c>
      <c r="D165" s="39" t="n">
        <v>362842</v>
      </c>
    </row>
    <row r="166" customFormat="false" ht="14.25" hidden="false" customHeight="false" outlineLevel="0" collapsed="false">
      <c r="A166" s="32"/>
      <c r="B166" s="33" t="n">
        <v>41365</v>
      </c>
      <c r="C166" s="34" t="n">
        <v>0.076</v>
      </c>
      <c r="D166" s="40" t="n">
        <v>360499</v>
      </c>
    </row>
    <row r="167" customFormat="false" ht="14.25" hidden="false" customHeight="false" outlineLevel="0" collapsed="false">
      <c r="A167" s="32"/>
      <c r="B167" s="37" t="n">
        <v>41334</v>
      </c>
      <c r="C167" s="38" t="n">
        <v>0.075</v>
      </c>
      <c r="D167" s="39" t="n">
        <v>362148</v>
      </c>
    </row>
    <row r="168" customFormat="false" ht="14.25" hidden="false" customHeight="false" outlineLevel="0" collapsed="false">
      <c r="A168" s="32"/>
      <c r="B168" s="33" t="n">
        <v>41306</v>
      </c>
      <c r="C168" s="34" t="n">
        <v>0.077</v>
      </c>
      <c r="D168" s="40" t="n">
        <v>365227</v>
      </c>
    </row>
    <row r="169" customFormat="false" ht="14.25" hidden="false" customHeight="false" outlineLevel="0" collapsed="false">
      <c r="A169" s="32"/>
      <c r="B169" s="37" t="n">
        <v>41275</v>
      </c>
      <c r="C169" s="38" t="n">
        <v>0.08</v>
      </c>
      <c r="D169" s="39" t="n">
        <v>360257</v>
      </c>
    </row>
    <row r="170" customFormat="false" ht="14.25" hidden="false" customHeight="false" outlineLevel="0" collapsed="false">
      <c r="A170" s="32"/>
      <c r="B170" s="33" t="n">
        <v>41244</v>
      </c>
      <c r="C170" s="34" t="n">
        <v>0.079</v>
      </c>
      <c r="D170" s="40" t="n">
        <v>357519</v>
      </c>
    </row>
    <row r="171" customFormat="false" ht="14.25" hidden="false" customHeight="false" outlineLevel="0" collapsed="false">
      <c r="A171" s="32"/>
      <c r="B171" s="37" t="n">
        <v>41214</v>
      </c>
      <c r="C171" s="38" t="n">
        <v>0.077</v>
      </c>
      <c r="D171" s="39" t="n">
        <v>356158</v>
      </c>
    </row>
    <row r="172" customFormat="false" ht="14.25" hidden="false" customHeight="false" outlineLevel="0" collapsed="false">
      <c r="A172" s="32"/>
      <c r="B172" s="33" t="n">
        <v>41183</v>
      </c>
      <c r="C172" s="34" t="n">
        <v>0.078</v>
      </c>
      <c r="D172" s="40" t="n">
        <v>354747</v>
      </c>
    </row>
    <row r="173" customFormat="false" ht="14.25" hidden="false" customHeight="false" outlineLevel="0" collapsed="false">
      <c r="A173" s="32"/>
      <c r="B173" s="37" t="n">
        <v>41153</v>
      </c>
      <c r="C173" s="38" t="n">
        <v>0.078</v>
      </c>
      <c r="D173" s="39" t="n">
        <v>354575</v>
      </c>
    </row>
    <row r="174" customFormat="false" ht="14.25" hidden="false" customHeight="false" outlineLevel="0" collapsed="false">
      <c r="A174" s="32"/>
      <c r="B174" s="33" t="n">
        <v>41122</v>
      </c>
      <c r="C174" s="34" t="n">
        <v>0.081</v>
      </c>
      <c r="D174" s="40" t="n">
        <v>351782</v>
      </c>
    </row>
    <row r="175" customFormat="false" ht="14.25" hidden="false" customHeight="false" outlineLevel="0" collapsed="false">
      <c r="A175" s="32"/>
      <c r="B175" s="37" t="n">
        <v>41091</v>
      </c>
      <c r="C175" s="38" t="n">
        <v>0.082</v>
      </c>
      <c r="D175" s="39" t="n">
        <v>346936</v>
      </c>
    </row>
    <row r="176" customFormat="false" ht="14.25" hidden="false" customHeight="false" outlineLevel="0" collapsed="false">
      <c r="A176" s="32"/>
      <c r="B176" s="33" t="n">
        <v>41061</v>
      </c>
      <c r="C176" s="34" t="n">
        <v>0.082</v>
      </c>
      <c r="D176" s="40" t="n">
        <v>345339</v>
      </c>
    </row>
    <row r="177" customFormat="false" ht="14.25" hidden="false" customHeight="false" outlineLevel="0" collapsed="false">
      <c r="A177" s="32"/>
      <c r="B177" s="37" t="n">
        <v>41030</v>
      </c>
      <c r="C177" s="38" t="n">
        <v>0.082</v>
      </c>
      <c r="D177" s="39" t="n">
        <v>349064</v>
      </c>
    </row>
    <row r="178" customFormat="false" ht="14.25" hidden="false" customHeight="false" outlineLevel="0" collapsed="false">
      <c r="A178" s="32"/>
      <c r="B178" s="33" t="n">
        <v>41000</v>
      </c>
      <c r="C178" s="34" t="n">
        <v>0.082</v>
      </c>
      <c r="D178" s="40" t="n">
        <v>349722</v>
      </c>
    </row>
    <row r="179" customFormat="false" ht="14.25" hidden="false" customHeight="false" outlineLevel="0" collapsed="false">
      <c r="A179" s="32"/>
      <c r="B179" s="37" t="n">
        <v>40969</v>
      </c>
      <c r="C179" s="38" t="n">
        <v>0.082</v>
      </c>
      <c r="D179" s="39" t="n">
        <v>351748</v>
      </c>
    </row>
    <row r="180" customFormat="false" ht="14.25" hidden="false" customHeight="false" outlineLevel="0" collapsed="false">
      <c r="A180" s="32"/>
      <c r="B180" s="33" t="n">
        <v>40940</v>
      </c>
      <c r="C180" s="34" t="n">
        <v>0.083</v>
      </c>
      <c r="D180" s="40" t="n">
        <v>350345</v>
      </c>
    </row>
    <row r="181" customFormat="false" ht="14.25" hidden="false" customHeight="false" outlineLevel="0" collapsed="false">
      <c r="A181" s="32"/>
      <c r="B181" s="37" t="n">
        <v>40909</v>
      </c>
      <c r="C181" s="38" t="n">
        <v>0.083</v>
      </c>
      <c r="D181" s="39" t="n">
        <v>345656</v>
      </c>
    </row>
    <row r="182" customFormat="false" ht="14.25" hidden="false" customHeight="false" outlineLevel="0" collapsed="false">
      <c r="A182" s="32"/>
      <c r="B182" s="33" t="n">
        <v>40878</v>
      </c>
      <c r="C182" s="34" t="n">
        <v>0.085</v>
      </c>
      <c r="D182" s="40" t="n">
        <v>343093</v>
      </c>
    </row>
    <row r="183" customFormat="false" ht="14.25" hidden="false" customHeight="false" outlineLevel="0" collapsed="false">
      <c r="A183" s="32"/>
      <c r="B183" s="37" t="n">
        <v>40848</v>
      </c>
      <c r="C183" s="38" t="n">
        <v>0.086</v>
      </c>
      <c r="D183" s="39" t="n">
        <v>342214</v>
      </c>
    </row>
    <row r="184" customFormat="false" ht="14.25" hidden="false" customHeight="false" outlineLevel="0" collapsed="false">
      <c r="A184" s="32"/>
      <c r="B184" s="33" t="n">
        <v>40817</v>
      </c>
      <c r="C184" s="34" t="n">
        <v>0.088</v>
      </c>
      <c r="D184" s="40" t="n">
        <v>341058</v>
      </c>
    </row>
    <row r="185" customFormat="false" ht="14.25" hidden="false" customHeight="false" outlineLevel="0" collapsed="false">
      <c r="A185" s="32"/>
      <c r="B185" s="37" t="n">
        <v>40787</v>
      </c>
      <c r="C185" s="38" t="n">
        <v>0.09</v>
      </c>
      <c r="D185" s="39" t="n">
        <v>339011</v>
      </c>
    </row>
    <row r="186" customFormat="false" ht="14.25" hidden="false" customHeight="false" outlineLevel="0" collapsed="false">
      <c r="A186" s="32"/>
      <c r="B186" s="33" t="n">
        <v>40756</v>
      </c>
      <c r="C186" s="34" t="n">
        <v>0.09</v>
      </c>
      <c r="D186" s="40" t="n">
        <v>335163</v>
      </c>
    </row>
    <row r="187" customFormat="false" ht="14.25" hidden="false" customHeight="false" outlineLevel="0" collapsed="false">
      <c r="A187" s="32"/>
      <c r="B187" s="37" t="n">
        <v>40725</v>
      </c>
      <c r="C187" s="38" t="n">
        <v>0.09</v>
      </c>
      <c r="D187" s="39" t="n">
        <v>334922</v>
      </c>
    </row>
    <row r="188" customFormat="false" ht="14.25" hidden="false" customHeight="false" outlineLevel="0" collapsed="false">
      <c r="A188" s="32"/>
      <c r="B188" s="33" t="n">
        <v>40695</v>
      </c>
      <c r="C188" s="34" t="n">
        <v>0.091</v>
      </c>
      <c r="D188" s="40" t="n">
        <v>335108</v>
      </c>
    </row>
    <row r="189" customFormat="false" ht="14.25" hidden="false" customHeight="false" outlineLevel="0" collapsed="false">
      <c r="A189" s="32"/>
      <c r="B189" s="37" t="n">
        <v>40664</v>
      </c>
      <c r="C189" s="38" t="n">
        <v>0.09</v>
      </c>
      <c r="D189" s="39" t="n">
        <v>332409</v>
      </c>
    </row>
    <row r="190" customFormat="false" ht="14.25" hidden="false" customHeight="false" outlineLevel="0" collapsed="false">
      <c r="A190" s="32"/>
      <c r="B190" s="33" t="n">
        <v>40634</v>
      </c>
      <c r="C190" s="34" t="n">
        <v>0.091</v>
      </c>
      <c r="D190" s="40" t="n">
        <v>333189</v>
      </c>
    </row>
    <row r="191" customFormat="false" ht="14.25" hidden="false" customHeight="false" outlineLevel="0" collapsed="false">
      <c r="A191" s="32"/>
      <c r="B191" s="37" t="n">
        <v>40603</v>
      </c>
      <c r="C191" s="38" t="n">
        <v>0.09</v>
      </c>
      <c r="D191" s="39" t="n">
        <v>331161</v>
      </c>
    </row>
    <row r="192" customFormat="false" ht="14.25" hidden="false" customHeight="false" outlineLevel="0" collapsed="false">
      <c r="A192" s="32"/>
      <c r="B192" s="33" t="n">
        <v>40575</v>
      </c>
      <c r="C192" s="34" t="n">
        <v>0.09</v>
      </c>
      <c r="D192" s="40" t="n">
        <v>328049</v>
      </c>
    </row>
    <row r="193" customFormat="false" ht="14.25" hidden="false" customHeight="false" outlineLevel="0" collapsed="false">
      <c r="A193" s="32"/>
      <c r="B193" s="37" t="n">
        <v>40544</v>
      </c>
      <c r="C193" s="38" t="n">
        <v>0.091</v>
      </c>
      <c r="D193" s="39" t="n">
        <v>325674</v>
      </c>
    </row>
    <row r="194" customFormat="false" ht="14.25" hidden="false" customHeight="false" outlineLevel="0" collapsed="false">
      <c r="A194" s="32"/>
      <c r="B194" s="33" t="n">
        <v>40513</v>
      </c>
      <c r="C194" s="34" t="n">
        <v>0.093</v>
      </c>
      <c r="D194" s="40" t="n">
        <v>323421</v>
      </c>
    </row>
    <row r="195" customFormat="false" ht="14.25" hidden="false" customHeight="false" outlineLevel="0" collapsed="false">
      <c r="A195" s="32"/>
      <c r="B195" s="37" t="n">
        <v>40483</v>
      </c>
      <c r="C195" s="38" t="n">
        <v>0.098</v>
      </c>
      <c r="D195" s="39" t="n">
        <v>320695</v>
      </c>
    </row>
    <row r="196" customFormat="false" ht="14.25" hidden="false" customHeight="false" outlineLevel="0" collapsed="false">
      <c r="A196" s="32"/>
      <c r="B196" s="33" t="n">
        <v>40452</v>
      </c>
      <c r="C196" s="34" t="n">
        <v>0.094</v>
      </c>
      <c r="D196" s="40" t="n">
        <v>317699</v>
      </c>
    </row>
    <row r="197" customFormat="false" ht="14.25" hidden="false" customHeight="false" outlineLevel="0" collapsed="false">
      <c r="A197" s="32"/>
      <c r="B197" s="37" t="n">
        <v>40422</v>
      </c>
      <c r="C197" s="38" t="n">
        <v>0.095</v>
      </c>
      <c r="D197" s="39" t="n">
        <v>313785</v>
      </c>
    </row>
    <row r="198" customFormat="false" ht="14.25" hidden="false" customHeight="false" outlineLevel="0" collapsed="false">
      <c r="A198" s="32"/>
      <c r="B198" s="33" t="n">
        <v>40391</v>
      </c>
      <c r="C198" s="34" t="n">
        <v>0.095</v>
      </c>
      <c r="D198" s="40" t="n">
        <v>310761</v>
      </c>
    </row>
    <row r="199" customFormat="false" ht="14.25" hidden="false" customHeight="false" outlineLevel="0" collapsed="false">
      <c r="A199" s="32"/>
      <c r="B199" s="37" t="n">
        <v>40360</v>
      </c>
      <c r="C199" s="38" t="n">
        <v>0.094</v>
      </c>
      <c r="D199" s="39" t="n">
        <v>309543</v>
      </c>
    </row>
    <row r="200" customFormat="false" ht="14.25" hidden="false" customHeight="false" outlineLevel="0" collapsed="false">
      <c r="A200" s="32"/>
      <c r="B200" s="33" t="n">
        <v>40330</v>
      </c>
      <c r="C200" s="34" t="n">
        <v>0.094</v>
      </c>
      <c r="D200" s="40" t="n">
        <v>308588</v>
      </c>
    </row>
    <row r="201" customFormat="false" ht="14.25" hidden="false" customHeight="false" outlineLevel="0" collapsed="false">
      <c r="A201" s="32"/>
      <c r="B201" s="37" t="n">
        <v>40299</v>
      </c>
      <c r="C201" s="38" t="n">
        <v>0.096</v>
      </c>
      <c r="D201" s="39" t="n">
        <v>309158</v>
      </c>
    </row>
    <row r="202" customFormat="false" ht="14.25" hidden="false" customHeight="false" outlineLevel="0" collapsed="false">
      <c r="A202" s="32"/>
      <c r="B202" s="33" t="n">
        <v>40269</v>
      </c>
      <c r="C202" s="34" t="n">
        <v>0.099</v>
      </c>
      <c r="D202" s="40" t="n">
        <v>312143</v>
      </c>
    </row>
    <row r="203" customFormat="false" ht="14.25" hidden="false" customHeight="false" outlineLevel="0" collapsed="false">
      <c r="A203" s="32"/>
      <c r="B203" s="37" t="n">
        <v>40238</v>
      </c>
      <c r="C203" s="38" t="n">
        <v>0.099</v>
      </c>
      <c r="D203" s="39" t="n">
        <v>309525</v>
      </c>
    </row>
    <row r="204" customFormat="false" ht="14.25" hidden="false" customHeight="false" outlineLevel="0" collapsed="false">
      <c r="A204" s="32"/>
      <c r="B204" s="33" t="n">
        <v>40210</v>
      </c>
      <c r="C204" s="34" t="n">
        <v>0.098</v>
      </c>
      <c r="D204" s="40" t="n">
        <v>302310</v>
      </c>
    </row>
    <row r="205" customFormat="false" ht="14.25" hidden="false" customHeight="false" outlineLevel="0" collapsed="false">
      <c r="A205" s="32"/>
      <c r="B205" s="37" t="n">
        <v>40179</v>
      </c>
      <c r="C205" s="38" t="n">
        <v>0.098</v>
      </c>
      <c r="D205" s="39" t="n">
        <v>302325</v>
      </c>
    </row>
    <row r="207" customFormat="false" ht="14.25" hidden="false" customHeight="false" outlineLevel="0" collapsed="false">
      <c r="B207" s="44" t="s">
        <v>74</v>
      </c>
    </row>
  </sheetData>
  <mergeCells count="1">
    <mergeCell ref="I12:J12"/>
  </mergeCells>
  <dataValidations count="1">
    <dataValidation allowBlank="true" errorStyle="stop" operator="between" showDropDown="false" showErrorMessage="true" showInputMessage="true" sqref="G10" type="list">
      <formula1>$B$9:$D$9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106"/>
  <sheetViews>
    <sheetView showFormulas="false" showGridLines="true" showRowColHeaders="true" showZeros="true" rightToLeft="false" tabSelected="false" showOutlineSymbols="true" defaultGridColor="true" view="normal" topLeftCell="A34" colorId="64" zoomScale="85" zoomScaleNormal="85" zoomScalePageLayoutView="100" workbookViewId="0">
      <selection pane="topLeft" activeCell="D12" activeCellId="0" sqref="D12"/>
    </sheetView>
  </sheetViews>
  <sheetFormatPr defaultColWidth="8.5390625" defaultRowHeight="14.25" zeroHeight="false" outlineLevelRow="0" outlineLevelCol="0"/>
  <cols>
    <col collapsed="false" customWidth="true" hidden="false" outlineLevel="0" max="2" min="2" style="0" width="18.81"/>
    <col collapsed="false" customWidth="true" hidden="false" outlineLevel="0" max="3" min="3" style="45" width="17"/>
    <col collapsed="false" customWidth="true" hidden="false" outlineLevel="0" max="4" min="4" style="45" width="15.45"/>
    <col collapsed="false" customWidth="true" hidden="false" outlineLevel="0" max="5" min="5" style="0" width="26.45"/>
    <col collapsed="false" customWidth="true" hidden="false" outlineLevel="0" max="6" min="6" style="0" width="17"/>
    <col collapsed="false" customWidth="true" hidden="false" outlineLevel="0" max="7" min="7" style="0" width="5.27"/>
    <col collapsed="false" customWidth="true" hidden="false" outlineLevel="0" max="8" min="8" style="46" width="82.73"/>
    <col collapsed="false" customWidth="true" hidden="false" outlineLevel="0" max="9" min="9" style="46" width="35.45"/>
    <col collapsed="false" customWidth="true" hidden="false" outlineLevel="0" max="10" min="10" style="47" width="12.73"/>
    <col collapsed="false" customWidth="true" hidden="false" outlineLevel="0" max="11" min="11" style="0" width="14.73"/>
    <col collapsed="false" customWidth="true" hidden="false" outlineLevel="0" max="12" min="12" style="0" width="12.73"/>
    <col collapsed="false" customWidth="true" hidden="false" outlineLevel="0" max="13" min="13" style="0" width="12"/>
    <col collapsed="false" customWidth="true" hidden="false" outlineLevel="0" max="14" min="14" style="0" width="13.73"/>
    <col collapsed="false" customWidth="true" hidden="false" outlineLevel="0" max="15" min="15" style="0" width="12.73"/>
    <col collapsed="false" customWidth="true" hidden="false" outlineLevel="0" max="17" min="16" style="0" width="12.81"/>
  </cols>
  <sheetData>
    <row r="2" customFormat="false" ht="55.2" hidden="false" customHeight="false" outlineLevel="0" collapsed="false">
      <c r="H2" s="48" t="s">
        <v>75</v>
      </c>
    </row>
    <row r="6" customFormat="false" ht="14.9" hidden="false" customHeight="false" outlineLevel="0" collapsed="false">
      <c r="B6" s="30" t="s">
        <v>76</v>
      </c>
      <c r="C6" s="49" t="s">
        <v>77</v>
      </c>
      <c r="D6" s="49" t="s">
        <v>78</v>
      </c>
      <c r="E6" s="30" t="s">
        <v>79</v>
      </c>
      <c r="F6" s="50" t="s">
        <v>80</v>
      </c>
      <c r="H6" s="28" t="s">
        <v>6</v>
      </c>
      <c r="I6" s="31" t="s">
        <v>7</v>
      </c>
    </row>
    <row r="7" customFormat="false" ht="14.25" hidden="false" customHeight="false" outlineLevel="0" collapsed="false">
      <c r="B7" s="0" t="n">
        <v>1</v>
      </c>
      <c r="C7" s="45" t="n">
        <v>502000</v>
      </c>
      <c r="D7" s="45" t="n">
        <v>2454</v>
      </c>
      <c r="E7" s="0" t="n">
        <v>4.4</v>
      </c>
      <c r="F7" s="45" t="n">
        <v>7</v>
      </c>
      <c r="H7" s="46" t="s">
        <v>81</v>
      </c>
    </row>
    <row r="8" customFormat="false" ht="14.25" hidden="false" customHeight="false" outlineLevel="0" collapsed="false">
      <c r="B8" s="0" t="n">
        <v>2</v>
      </c>
      <c r="C8" s="45" t="n">
        <v>361000</v>
      </c>
      <c r="D8" s="45" t="n">
        <v>3255</v>
      </c>
      <c r="E8" s="0" t="n">
        <v>13.2</v>
      </c>
      <c r="F8" s="45" t="n">
        <v>3</v>
      </c>
    </row>
    <row r="9" customFormat="false" ht="14.9" hidden="false" customHeight="false" outlineLevel="0" collapsed="false">
      <c r="B9" s="0" t="n">
        <v>3</v>
      </c>
      <c r="C9" s="45" t="n">
        <v>264000</v>
      </c>
      <c r="D9" s="45" t="n">
        <v>1817</v>
      </c>
      <c r="E9" s="0" t="n">
        <v>6.1</v>
      </c>
      <c r="F9" s="45" t="n">
        <v>3</v>
      </c>
      <c r="H9" s="51" t="s">
        <v>82</v>
      </c>
      <c r="I9" s="52" t="n">
        <f aca="false">RSQ($C$7:$C$106,D7:D106)</f>
        <v>0.529179407183534</v>
      </c>
    </row>
    <row r="10" customFormat="false" ht="14.9" hidden="false" customHeight="false" outlineLevel="0" collapsed="false">
      <c r="B10" s="0" t="n">
        <v>4</v>
      </c>
      <c r="C10" s="45" t="n">
        <v>400000</v>
      </c>
      <c r="D10" s="45" t="n">
        <v>1828</v>
      </c>
      <c r="E10" s="0" t="n">
        <v>10.3</v>
      </c>
      <c r="F10" s="45" t="n">
        <v>7</v>
      </c>
      <c r="H10" s="51" t="s">
        <v>83</v>
      </c>
      <c r="I10" s="52" t="n">
        <f aca="false">RSQ($C$7:$C$106,E7:E106)</f>
        <v>0.0973448237369083</v>
      </c>
    </row>
    <row r="11" customFormat="false" ht="14.9" hidden="false" customHeight="false" outlineLevel="0" collapsed="false">
      <c r="B11" s="0" t="n">
        <v>5</v>
      </c>
      <c r="C11" s="45" t="n">
        <v>692000</v>
      </c>
      <c r="D11" s="45" t="n">
        <v>3602</v>
      </c>
      <c r="E11" s="0" t="n">
        <v>4.4</v>
      </c>
      <c r="F11" s="45" t="n">
        <v>9</v>
      </c>
      <c r="H11" s="51" t="s">
        <v>84</v>
      </c>
      <c r="I11" s="52" t="n">
        <f aca="false">RSQ($C$7:$C$106,F7:F106)</f>
        <v>0.383861527244932</v>
      </c>
    </row>
    <row r="12" customFormat="false" ht="14.25" hidden="false" customHeight="false" outlineLevel="0" collapsed="false">
      <c r="B12" s="0" t="n">
        <v>6</v>
      </c>
      <c r="C12" s="45" t="n">
        <v>633000</v>
      </c>
      <c r="D12" s="45" t="n">
        <v>3355</v>
      </c>
      <c r="E12" s="0" t="n">
        <v>4.7</v>
      </c>
      <c r="F12" s="45" t="n">
        <v>8</v>
      </c>
    </row>
    <row r="13" customFormat="false" ht="14.25" hidden="false" customHeight="false" outlineLevel="0" collapsed="false">
      <c r="B13" s="0" t="n">
        <v>7</v>
      </c>
      <c r="C13" s="45" t="n">
        <v>611000</v>
      </c>
      <c r="D13" s="45" t="n">
        <v>2527</v>
      </c>
      <c r="E13" s="0" t="n">
        <v>8</v>
      </c>
      <c r="F13" s="45" t="n">
        <v>10</v>
      </c>
      <c r="H13" s="51" t="s">
        <v>85</v>
      </c>
      <c r="I13" s="53" t="s">
        <v>86</v>
      </c>
    </row>
    <row r="14" customFormat="false" ht="14.25" hidden="false" customHeight="false" outlineLevel="0" collapsed="false">
      <c r="B14" s="0" t="n">
        <v>8</v>
      </c>
      <c r="C14" s="45" t="n">
        <v>358000</v>
      </c>
      <c r="D14" s="45" t="n">
        <v>1687</v>
      </c>
      <c r="E14" s="0" t="n">
        <v>8.3</v>
      </c>
      <c r="F14" s="45" t="n">
        <v>6</v>
      </c>
    </row>
    <row r="15" customFormat="false" ht="14.25" hidden="false" customHeight="false" outlineLevel="0" collapsed="false">
      <c r="B15" s="0" t="n">
        <v>9</v>
      </c>
      <c r="C15" s="45" t="n">
        <v>512000</v>
      </c>
      <c r="D15" s="45" t="n">
        <v>3594</v>
      </c>
      <c r="E15" s="0" t="n">
        <v>4.5</v>
      </c>
      <c r="F15" s="45" t="n">
        <v>4</v>
      </c>
    </row>
    <row r="16" customFormat="false" ht="14.25" hidden="false" customHeight="false" outlineLevel="0" collapsed="false">
      <c r="B16" s="0" t="n">
        <v>10</v>
      </c>
      <c r="C16" s="45" t="n">
        <v>443000</v>
      </c>
      <c r="D16" s="45" t="n">
        <v>2690</v>
      </c>
      <c r="E16" s="0" t="n">
        <v>0.5</v>
      </c>
      <c r="F16" s="45" t="n">
        <v>3</v>
      </c>
      <c r="H16" s="46" t="s">
        <v>87</v>
      </c>
    </row>
    <row r="17" customFormat="false" ht="14.25" hidden="false" customHeight="false" outlineLevel="0" collapsed="false">
      <c r="B17" s="0" t="n">
        <v>11</v>
      </c>
      <c r="C17" s="45" t="n">
        <v>313000</v>
      </c>
      <c r="D17" s="45" t="n">
        <v>2187</v>
      </c>
      <c r="E17" s="0" t="n">
        <v>4.3</v>
      </c>
      <c r="F17" s="45" t="n">
        <v>2</v>
      </c>
      <c r="H17" s="46" t="s">
        <v>88</v>
      </c>
    </row>
    <row r="18" customFormat="false" ht="14.25" hidden="false" customHeight="false" outlineLevel="0" collapsed="false">
      <c r="B18" s="0" t="n">
        <v>12</v>
      </c>
      <c r="C18" s="45" t="n">
        <v>427000</v>
      </c>
      <c r="D18" s="45" t="n">
        <v>3574</v>
      </c>
      <c r="E18" s="0" t="n">
        <v>7.7</v>
      </c>
      <c r="F18" s="45" t="n">
        <v>2</v>
      </c>
    </row>
    <row r="19" customFormat="false" ht="14.25" hidden="false" customHeight="false" outlineLevel="0" collapsed="false">
      <c r="B19" s="0" t="n">
        <v>13</v>
      </c>
      <c r="C19" s="45" t="n">
        <v>447000</v>
      </c>
      <c r="D19" s="45" t="n">
        <v>2095</v>
      </c>
      <c r="E19" s="0" t="n">
        <v>5.1</v>
      </c>
      <c r="F19" s="45" t="n">
        <v>7</v>
      </c>
      <c r="H19" s="51" t="s">
        <v>89</v>
      </c>
      <c r="I19" s="54" t="n">
        <f aca="false">SLOPE($C$7:$C$106,D7:D106)</f>
        <v>110.345357785954</v>
      </c>
    </row>
    <row r="20" customFormat="false" ht="14.25" hidden="false" customHeight="false" outlineLevel="0" collapsed="false">
      <c r="B20" s="0" t="n">
        <v>14</v>
      </c>
      <c r="C20" s="45" t="n">
        <v>480000</v>
      </c>
      <c r="D20" s="45" t="n">
        <v>1903</v>
      </c>
      <c r="E20" s="0" t="n">
        <v>6.8</v>
      </c>
      <c r="F20" s="45" t="n">
        <v>9</v>
      </c>
      <c r="H20" s="51" t="s">
        <v>90</v>
      </c>
      <c r="I20" s="54" t="n">
        <f aca="false">SLOPE($C$7:$C$106,E7:E106)</f>
        <v>-12635.7582492436</v>
      </c>
    </row>
    <row r="21" customFormat="false" ht="14.25" hidden="false" customHeight="false" outlineLevel="0" collapsed="false">
      <c r="B21" s="0" t="n">
        <v>15</v>
      </c>
      <c r="C21" s="45" t="n">
        <v>397000</v>
      </c>
      <c r="D21" s="45" t="n">
        <v>2541</v>
      </c>
      <c r="E21" s="0" t="n">
        <v>6.1</v>
      </c>
      <c r="F21" s="45" t="n">
        <v>4</v>
      </c>
      <c r="H21" s="51" t="s">
        <v>91</v>
      </c>
      <c r="I21" s="54" t="n">
        <f aca="false">SLOPE($C$7:$C$106,F7:F106)</f>
        <v>34393.7591917642</v>
      </c>
    </row>
    <row r="22" customFormat="false" ht="14.25" hidden="false" customHeight="false" outlineLevel="0" collapsed="false">
      <c r="B22" s="0" t="n">
        <v>16</v>
      </c>
      <c r="C22" s="45" t="n">
        <v>432000</v>
      </c>
      <c r="D22" s="45" t="n">
        <v>2988</v>
      </c>
      <c r="E22" s="0" t="n">
        <v>0.5</v>
      </c>
      <c r="F22" s="45" t="n">
        <v>2</v>
      </c>
    </row>
    <row r="23" customFormat="false" ht="14.25" hidden="false" customHeight="false" outlineLevel="0" collapsed="false">
      <c r="B23" s="0" t="n">
        <v>17</v>
      </c>
      <c r="C23" s="45" t="n">
        <v>422000</v>
      </c>
      <c r="D23" s="45" t="n">
        <v>2924</v>
      </c>
      <c r="E23" s="0" t="n">
        <v>8.5</v>
      </c>
      <c r="F23" s="45" t="n">
        <v>4</v>
      </c>
      <c r="H23" s="28" t="s">
        <v>92</v>
      </c>
      <c r="I23" s="31" t="s">
        <v>7</v>
      </c>
    </row>
    <row r="24" customFormat="false" ht="14.25" hidden="false" customHeight="false" outlineLevel="0" collapsed="false">
      <c r="B24" s="0" t="n">
        <v>18</v>
      </c>
      <c r="C24" s="45" t="n">
        <v>321000</v>
      </c>
      <c r="D24" s="45" t="n">
        <v>1010</v>
      </c>
      <c r="E24" s="0" t="n">
        <v>2.7</v>
      </c>
      <c r="F24" s="45" t="n">
        <v>6</v>
      </c>
      <c r="K24" s="20" t="s">
        <v>36</v>
      </c>
    </row>
    <row r="25" customFormat="false" ht="41.75" hidden="false" customHeight="false" outlineLevel="0" collapsed="false">
      <c r="B25" s="0" t="n">
        <v>19</v>
      </c>
      <c r="C25" s="45" t="n">
        <v>302000</v>
      </c>
      <c r="D25" s="45" t="n">
        <v>1684</v>
      </c>
      <c r="E25" s="0" t="n">
        <v>3</v>
      </c>
      <c r="F25" s="45" t="n">
        <v>3</v>
      </c>
      <c r="H25" s="5" t="s">
        <v>93</v>
      </c>
    </row>
    <row r="26" customFormat="false" ht="14.25" hidden="false" customHeight="false" outlineLevel="0" collapsed="false">
      <c r="B26" s="0" t="n">
        <v>20</v>
      </c>
      <c r="C26" s="45" t="n">
        <v>432000</v>
      </c>
      <c r="D26" s="45" t="n">
        <v>3238</v>
      </c>
      <c r="E26" s="0" t="n">
        <v>7.4</v>
      </c>
      <c r="F26" s="45" t="n">
        <v>3</v>
      </c>
      <c r="K26" s="41" t="s">
        <v>39</v>
      </c>
      <c r="L26" s="41"/>
    </row>
    <row r="27" customFormat="false" ht="41.75" hidden="false" customHeight="false" outlineLevel="0" collapsed="false">
      <c r="B27" s="0" t="n">
        <v>21</v>
      </c>
      <c r="C27" s="45" t="n">
        <v>481000</v>
      </c>
      <c r="D27" s="45" t="n">
        <v>3504</v>
      </c>
      <c r="E27" s="0" t="n">
        <v>2.1</v>
      </c>
      <c r="F27" s="45" t="n">
        <v>3</v>
      </c>
      <c r="H27" s="5" t="s">
        <v>94</v>
      </c>
      <c r="K27" s="20" t="s">
        <v>40</v>
      </c>
      <c r="L27" s="0" t="n">
        <v>0.996656820597935</v>
      </c>
    </row>
    <row r="28" customFormat="false" ht="14.25" hidden="false" customHeight="false" outlineLevel="0" collapsed="false">
      <c r="B28" s="0" t="n">
        <v>22</v>
      </c>
      <c r="C28" s="45" t="n">
        <v>136000</v>
      </c>
      <c r="D28" s="45" t="n">
        <v>1249</v>
      </c>
      <c r="E28" s="0" t="n">
        <v>6</v>
      </c>
      <c r="F28" s="45" t="n">
        <v>1</v>
      </c>
      <c r="K28" s="20" t="s">
        <v>42</v>
      </c>
      <c r="L28" s="0" t="n">
        <v>0.993324818044385</v>
      </c>
    </row>
    <row r="29" customFormat="false" ht="14.25" hidden="false" customHeight="false" outlineLevel="0" collapsed="false">
      <c r="B29" s="0" t="n">
        <v>23</v>
      </c>
      <c r="C29" s="45" t="n">
        <v>552000</v>
      </c>
      <c r="D29" s="45" t="n">
        <v>2740</v>
      </c>
      <c r="E29" s="0" t="n">
        <v>1.6</v>
      </c>
      <c r="F29" s="45" t="n">
        <v>7</v>
      </c>
      <c r="H29" s="46" t="s">
        <v>95</v>
      </c>
      <c r="J29" s="47" t="s">
        <v>96</v>
      </c>
      <c r="K29" s="20" t="s">
        <v>43</v>
      </c>
      <c r="L29" s="0" t="n">
        <v>0.993116218608272</v>
      </c>
    </row>
    <row r="30" customFormat="false" ht="14.25" hidden="false" customHeight="false" outlineLevel="0" collapsed="false">
      <c r="B30" s="0" t="n">
        <v>24</v>
      </c>
      <c r="C30" s="45" t="n">
        <v>328000</v>
      </c>
      <c r="D30" s="45" t="n">
        <v>2542</v>
      </c>
      <c r="E30" s="0" t="n">
        <v>4.2</v>
      </c>
      <c r="F30" s="45" t="n">
        <v>2</v>
      </c>
      <c r="K30" s="20" t="s">
        <v>45</v>
      </c>
      <c r="L30" s="0" t="n">
        <v>11577.7129021717</v>
      </c>
    </row>
    <row r="31" customFormat="false" ht="28.35" hidden="false" customHeight="false" outlineLevel="0" collapsed="false">
      <c r="B31" s="0" t="n">
        <v>25</v>
      </c>
      <c r="C31" s="45" t="n">
        <v>566000</v>
      </c>
      <c r="D31" s="45" t="n">
        <v>2068</v>
      </c>
      <c r="E31" s="0" t="n">
        <v>3.5</v>
      </c>
      <c r="F31" s="45" t="n">
        <v>10</v>
      </c>
      <c r="H31" s="5" t="s">
        <v>97</v>
      </c>
      <c r="I31" s="52" t="s">
        <v>98</v>
      </c>
      <c r="J31" s="47" t="s">
        <v>99</v>
      </c>
      <c r="K31" s="42" t="s">
        <v>46</v>
      </c>
      <c r="L31" s="42" t="n">
        <v>100</v>
      </c>
    </row>
    <row r="32" customFormat="false" ht="14.25" hidden="false" customHeight="false" outlineLevel="0" collapsed="false">
      <c r="B32" s="0" t="n">
        <v>26</v>
      </c>
      <c r="C32" s="45" t="n">
        <v>463000</v>
      </c>
      <c r="D32" s="45" t="n">
        <v>2360</v>
      </c>
      <c r="E32" s="0" t="n">
        <v>3.2</v>
      </c>
      <c r="F32" s="45" t="n">
        <v>6</v>
      </c>
    </row>
    <row r="33" customFormat="false" ht="14.25" hidden="false" customHeight="false" outlineLevel="0" collapsed="false">
      <c r="B33" s="0" t="n">
        <v>27</v>
      </c>
      <c r="C33" s="45" t="n">
        <v>581000</v>
      </c>
      <c r="D33" s="45" t="n">
        <v>2943</v>
      </c>
      <c r="E33" s="0" t="n">
        <v>1.7</v>
      </c>
      <c r="F33" s="45" t="n">
        <v>7</v>
      </c>
      <c r="K33" s="20" t="s">
        <v>48</v>
      </c>
    </row>
    <row r="34" customFormat="false" ht="28.35" hidden="false" customHeight="false" outlineLevel="0" collapsed="false">
      <c r="B34" s="0" t="n">
        <v>28</v>
      </c>
      <c r="C34" s="45" t="n">
        <v>450000</v>
      </c>
      <c r="D34" s="45" t="n">
        <v>4024</v>
      </c>
      <c r="E34" s="0" t="n">
        <v>4.8</v>
      </c>
      <c r="F34" s="45" t="n">
        <v>1</v>
      </c>
      <c r="H34" s="5" t="s">
        <v>100</v>
      </c>
      <c r="I34" s="55" t="n">
        <f aca="false">+L40+2000*L41+5*L42+8*L43</f>
        <v>486920.342612409</v>
      </c>
      <c r="J34" s="47" t="s">
        <v>101</v>
      </c>
      <c r="K34" s="41"/>
      <c r="L34" s="41" t="s">
        <v>50</v>
      </c>
      <c r="M34" s="41" t="s">
        <v>51</v>
      </c>
      <c r="N34" s="41" t="s">
        <v>52</v>
      </c>
      <c r="O34" s="41" t="s">
        <v>53</v>
      </c>
      <c r="P34" s="41" t="s">
        <v>54</v>
      </c>
    </row>
    <row r="35" customFormat="false" ht="14.25" hidden="false" customHeight="false" outlineLevel="0" collapsed="false">
      <c r="B35" s="0" t="n">
        <v>29</v>
      </c>
      <c r="C35" s="45" t="n">
        <v>459000</v>
      </c>
      <c r="D35" s="45" t="n">
        <v>2614</v>
      </c>
      <c r="E35" s="0" t="n">
        <v>5.5</v>
      </c>
      <c r="F35" s="45" t="n">
        <v>5</v>
      </c>
      <c r="K35" s="20" t="s">
        <v>55</v>
      </c>
      <c r="L35" s="0" t="n">
        <v>3</v>
      </c>
      <c r="M35" s="0" t="n">
        <v>1914894990139.67</v>
      </c>
      <c r="N35" s="0" t="n">
        <v>638298330046.556</v>
      </c>
      <c r="O35" s="0" t="n">
        <v>4761.87681306326</v>
      </c>
      <c r="P35" s="0" t="n">
        <v>2.94611604547599E-104</v>
      </c>
    </row>
    <row r="36" customFormat="false" ht="14.25" hidden="false" customHeight="false" outlineLevel="0" collapsed="false">
      <c r="B36" s="0" t="n">
        <v>30</v>
      </c>
      <c r="C36" s="45" t="n">
        <v>326000</v>
      </c>
      <c r="D36" s="45" t="n">
        <v>2455</v>
      </c>
      <c r="E36" s="0" t="n">
        <v>8.7</v>
      </c>
      <c r="F36" s="45" t="n">
        <v>3</v>
      </c>
      <c r="H36" s="46" t="s">
        <v>102</v>
      </c>
      <c r="K36" s="20" t="s">
        <v>57</v>
      </c>
      <c r="L36" s="0" t="n">
        <v>96</v>
      </c>
      <c r="M36" s="0" t="n">
        <v>12868169860.3309</v>
      </c>
      <c r="N36" s="0" t="n">
        <v>134043436.045114</v>
      </c>
    </row>
    <row r="37" customFormat="false" ht="14.25" hidden="false" customHeight="false" outlineLevel="0" collapsed="false">
      <c r="B37" s="0" t="n">
        <v>31</v>
      </c>
      <c r="C37" s="45" t="n">
        <v>674000</v>
      </c>
      <c r="D37" s="45" t="n">
        <v>3646</v>
      </c>
      <c r="E37" s="0" t="n">
        <v>2.7</v>
      </c>
      <c r="F37" s="45" t="n">
        <v>8</v>
      </c>
      <c r="K37" s="42" t="s">
        <v>58</v>
      </c>
      <c r="L37" s="42" t="n">
        <v>99</v>
      </c>
      <c r="M37" s="42" t="n">
        <v>1927763160000</v>
      </c>
      <c r="N37" s="42"/>
      <c r="O37" s="42"/>
      <c r="P37" s="42"/>
    </row>
    <row r="38" customFormat="false" ht="14.25" hidden="false" customHeight="false" outlineLevel="0" collapsed="false">
      <c r="B38" s="0" t="n">
        <v>32</v>
      </c>
      <c r="C38" s="45" t="n">
        <v>480000</v>
      </c>
      <c r="D38" s="45" t="n">
        <v>1336</v>
      </c>
      <c r="E38" s="0" t="n">
        <v>5.2</v>
      </c>
      <c r="F38" s="45" t="n">
        <v>10</v>
      </c>
      <c r="H38" s="46" t="s">
        <v>103</v>
      </c>
      <c r="I38" s="56" t="s">
        <v>104</v>
      </c>
      <c r="J38" s="47" t="s">
        <v>105</v>
      </c>
    </row>
    <row r="39" customFormat="false" ht="14.25" hidden="false" customHeight="false" outlineLevel="0" collapsed="false">
      <c r="B39" s="0" t="n">
        <v>33</v>
      </c>
      <c r="C39" s="45" t="n">
        <v>498000</v>
      </c>
      <c r="D39" s="45" t="n">
        <v>3290</v>
      </c>
      <c r="E39" s="0" t="n">
        <v>13.8</v>
      </c>
      <c r="F39" s="45" t="n">
        <v>7</v>
      </c>
      <c r="K39" s="41"/>
      <c r="L39" s="41" t="s">
        <v>60</v>
      </c>
      <c r="M39" s="41" t="s">
        <v>45</v>
      </c>
      <c r="N39" s="41" t="s">
        <v>61</v>
      </c>
      <c r="O39" s="41" t="s">
        <v>62</v>
      </c>
      <c r="P39" s="41" t="s">
        <v>63</v>
      </c>
      <c r="Q39" s="41" t="s">
        <v>64</v>
      </c>
      <c r="R39" s="41" t="s">
        <v>65</v>
      </c>
      <c r="S39" s="41" t="s">
        <v>66</v>
      </c>
    </row>
    <row r="40" customFormat="false" ht="60.75" hidden="false" customHeight="true" outlineLevel="0" collapsed="false">
      <c r="B40" s="0" t="n">
        <v>34</v>
      </c>
      <c r="C40" s="45" t="n">
        <v>159000</v>
      </c>
      <c r="D40" s="45" t="n">
        <v>1195</v>
      </c>
      <c r="E40" s="0" t="n">
        <v>6.6</v>
      </c>
      <c r="F40" s="45" t="n">
        <v>2</v>
      </c>
      <c r="H40" s="46" t="s">
        <v>106</v>
      </c>
      <c r="I40" s="57" t="s">
        <v>107</v>
      </c>
      <c r="J40" s="47" t="s">
        <v>99</v>
      </c>
      <c r="K40" s="20" t="s">
        <v>69</v>
      </c>
      <c r="L40" s="0" t="n">
        <v>28568.7512485911</v>
      </c>
      <c r="M40" s="0" t="n">
        <v>4893.81150035437</v>
      </c>
      <c r="N40" s="0" t="n">
        <v>5.8377302122328</v>
      </c>
      <c r="O40" s="0" t="n">
        <v>7.1760248010807E-008</v>
      </c>
      <c r="P40" s="0" t="n">
        <v>18854.6121968395</v>
      </c>
      <c r="Q40" s="0" t="n">
        <v>38282.8903003427</v>
      </c>
      <c r="R40" s="0" t="n">
        <v>18854.6121968395</v>
      </c>
      <c r="S40" s="0" t="n">
        <v>38282.8903003427</v>
      </c>
    </row>
    <row r="41" customFormat="false" ht="14.25" hidden="false" customHeight="false" outlineLevel="0" collapsed="false">
      <c r="B41" s="0" t="n">
        <v>35</v>
      </c>
      <c r="C41" s="45" t="n">
        <v>283000</v>
      </c>
      <c r="D41" s="45" t="n">
        <v>2012</v>
      </c>
      <c r="E41" s="0" t="n">
        <v>6.9</v>
      </c>
      <c r="F41" s="45" t="n">
        <v>3</v>
      </c>
      <c r="K41" s="20" t="s">
        <v>86</v>
      </c>
      <c r="L41" s="0" t="n">
        <v>108.826272222357</v>
      </c>
      <c r="M41" s="0" t="n">
        <v>1.27669204288117</v>
      </c>
      <c r="N41" s="0" t="n">
        <v>85.2408165533509</v>
      </c>
      <c r="O41" s="0" t="n">
        <v>2.79057929901808E-092</v>
      </c>
      <c r="P41" s="0" t="n">
        <v>106.292058546592</v>
      </c>
      <c r="Q41" s="0" t="n">
        <v>111.360485898121</v>
      </c>
      <c r="R41" s="0" t="n">
        <v>106.292058546592</v>
      </c>
      <c r="S41" s="0" t="n">
        <v>111.360485898121</v>
      </c>
    </row>
    <row r="42" customFormat="false" ht="14.25" hidden="false" customHeight="false" outlineLevel="0" collapsed="false">
      <c r="B42" s="0" t="n">
        <v>36</v>
      </c>
      <c r="C42" s="45" t="n">
        <v>338000</v>
      </c>
      <c r="D42" s="45" t="n">
        <v>2478</v>
      </c>
      <c r="E42" s="0" t="n">
        <v>6.7</v>
      </c>
      <c r="F42" s="45" t="n">
        <v>3</v>
      </c>
      <c r="K42" s="20" t="s">
        <v>79</v>
      </c>
      <c r="L42" s="0" t="n">
        <v>-9239.57388567014</v>
      </c>
      <c r="M42" s="0" t="n">
        <v>340.746443031815</v>
      </c>
      <c r="N42" s="0" t="n">
        <v>-27.1156869708174</v>
      </c>
      <c r="O42" s="0" t="n">
        <v>8.65728021100778E-047</v>
      </c>
      <c r="P42" s="0" t="n">
        <v>-9915.95022929537</v>
      </c>
      <c r="Q42" s="0" t="n">
        <v>-8563.1975420449</v>
      </c>
      <c r="R42" s="0" t="n">
        <v>-9915.95022929537</v>
      </c>
      <c r="S42" s="0" t="n">
        <v>-8563.1975420449</v>
      </c>
    </row>
    <row r="43" customFormat="false" ht="14.25" hidden="false" customHeight="false" outlineLevel="0" collapsed="false">
      <c r="B43" s="0" t="n">
        <v>37</v>
      </c>
      <c r="C43" s="45" t="n">
        <v>592000</v>
      </c>
      <c r="D43" s="45" t="n">
        <v>3097</v>
      </c>
      <c r="E43" s="0" t="n">
        <v>0.5</v>
      </c>
      <c r="F43" s="45" t="n">
        <v>6</v>
      </c>
      <c r="K43" s="42" t="s">
        <v>80</v>
      </c>
      <c r="L43" s="42" t="n">
        <v>35862.1145434319</v>
      </c>
      <c r="M43" s="42" t="n">
        <v>463.170088390106</v>
      </c>
      <c r="N43" s="42" t="n">
        <v>77.4275270410533</v>
      </c>
      <c r="O43" s="42" t="n">
        <v>2.49427053666043E-088</v>
      </c>
      <c r="P43" s="42" t="n">
        <v>34942.7291844111</v>
      </c>
      <c r="Q43" s="42" t="n">
        <v>36781.4999024528</v>
      </c>
      <c r="R43" s="42" t="n">
        <v>34942.7291844111</v>
      </c>
      <c r="S43" s="42" t="n">
        <v>36781.4999024528</v>
      </c>
    </row>
    <row r="44" customFormat="false" ht="14.25" hidden="false" customHeight="false" outlineLevel="0" collapsed="false">
      <c r="B44" s="0" t="n">
        <v>38</v>
      </c>
      <c r="C44" s="45" t="n">
        <v>575000</v>
      </c>
      <c r="D44" s="45" t="n">
        <v>4068</v>
      </c>
      <c r="E44" s="0" t="n">
        <v>4</v>
      </c>
      <c r="F44" s="45" t="n">
        <v>4</v>
      </c>
    </row>
    <row r="45" customFormat="false" ht="14.25" hidden="false" customHeight="false" outlineLevel="0" collapsed="false">
      <c r="B45" s="0" t="n">
        <v>39</v>
      </c>
      <c r="C45" s="45" t="n">
        <v>375000</v>
      </c>
      <c r="D45" s="45" t="n">
        <v>1280</v>
      </c>
      <c r="E45" s="0" t="n">
        <v>0.5</v>
      </c>
      <c r="F45" s="45" t="n">
        <v>6</v>
      </c>
    </row>
    <row r="46" customFormat="false" ht="14.25" hidden="false" customHeight="false" outlineLevel="0" collapsed="false">
      <c r="B46" s="0" t="n">
        <v>40</v>
      </c>
      <c r="C46" s="45" t="n">
        <v>423000</v>
      </c>
      <c r="D46" s="45" t="n">
        <v>3578</v>
      </c>
      <c r="E46" s="0" t="n">
        <v>8.4</v>
      </c>
      <c r="F46" s="45" t="n">
        <v>2</v>
      </c>
    </row>
    <row r="47" customFormat="false" ht="14.25" hidden="false" customHeight="false" outlineLevel="0" collapsed="false">
      <c r="B47" s="0" t="n">
        <v>41</v>
      </c>
      <c r="C47" s="45" t="n">
        <v>187000</v>
      </c>
      <c r="D47" s="45" t="n">
        <v>1978</v>
      </c>
      <c r="E47" s="0" t="n">
        <v>11.8</v>
      </c>
      <c r="F47" s="45" t="n">
        <v>1</v>
      </c>
    </row>
    <row r="48" customFormat="false" ht="14.25" hidden="false" customHeight="false" outlineLevel="0" collapsed="false">
      <c r="B48" s="0" t="n">
        <v>42</v>
      </c>
      <c r="C48" s="45" t="n">
        <v>324000</v>
      </c>
      <c r="D48" s="45" t="n">
        <v>995</v>
      </c>
      <c r="E48" s="0" t="n">
        <v>2.9</v>
      </c>
      <c r="F48" s="45" t="n">
        <v>6</v>
      </c>
    </row>
    <row r="49" customFormat="false" ht="14.25" hidden="false" customHeight="false" outlineLevel="0" collapsed="false">
      <c r="B49" s="0" t="n">
        <v>43</v>
      </c>
      <c r="C49" s="45" t="n">
        <v>426000</v>
      </c>
      <c r="D49" s="45" t="n">
        <v>2344</v>
      </c>
      <c r="E49" s="0" t="n">
        <v>12.1</v>
      </c>
      <c r="F49" s="45" t="n">
        <v>7</v>
      </c>
    </row>
    <row r="50" customFormat="false" ht="14.25" hidden="false" customHeight="false" outlineLevel="0" collapsed="false">
      <c r="B50" s="0" t="n">
        <v>44</v>
      </c>
      <c r="C50" s="45" t="n">
        <v>737000</v>
      </c>
      <c r="D50" s="45" t="n">
        <v>4168</v>
      </c>
      <c r="E50" s="0" t="n">
        <v>0.5</v>
      </c>
      <c r="F50" s="45" t="n">
        <v>7</v>
      </c>
    </row>
    <row r="51" customFormat="false" ht="14.25" hidden="false" customHeight="false" outlineLevel="0" collapsed="false">
      <c r="B51" s="0" t="n">
        <v>45</v>
      </c>
      <c r="C51" s="45" t="n">
        <v>529000</v>
      </c>
      <c r="D51" s="45" t="n">
        <v>2496</v>
      </c>
      <c r="E51" s="0" t="n">
        <v>0.5</v>
      </c>
      <c r="F51" s="45" t="n">
        <v>6</v>
      </c>
    </row>
    <row r="52" customFormat="false" ht="14.25" hidden="false" customHeight="false" outlineLevel="0" collapsed="false">
      <c r="B52" s="0" t="n">
        <v>46</v>
      </c>
      <c r="C52" s="45" t="n">
        <v>181000</v>
      </c>
      <c r="D52" s="45" t="n">
        <v>1179</v>
      </c>
      <c r="E52" s="0" t="n">
        <v>7.2</v>
      </c>
      <c r="F52" s="45" t="n">
        <v>3</v>
      </c>
    </row>
    <row r="53" customFormat="false" ht="14.25" hidden="false" customHeight="false" outlineLevel="0" collapsed="false">
      <c r="B53" s="0" t="n">
        <v>47</v>
      </c>
      <c r="C53" s="45" t="n">
        <v>530000</v>
      </c>
      <c r="D53" s="45" t="n">
        <v>2327</v>
      </c>
      <c r="E53" s="0" t="n">
        <v>1.7</v>
      </c>
      <c r="F53" s="45" t="n">
        <v>7</v>
      </c>
    </row>
    <row r="54" customFormat="false" ht="14.25" hidden="false" customHeight="false" outlineLevel="0" collapsed="false">
      <c r="B54" s="0" t="n">
        <v>48</v>
      </c>
      <c r="C54" s="45" t="n">
        <v>367000</v>
      </c>
      <c r="D54" s="45" t="n">
        <v>1742</v>
      </c>
      <c r="E54" s="0" t="n">
        <v>3</v>
      </c>
      <c r="F54" s="45" t="n">
        <v>5</v>
      </c>
    </row>
    <row r="55" customFormat="false" ht="14.25" hidden="false" customHeight="false" outlineLevel="0" collapsed="false">
      <c r="B55" s="0" t="n">
        <v>49</v>
      </c>
      <c r="C55" s="45" t="n">
        <v>487000</v>
      </c>
      <c r="D55" s="45" t="n">
        <v>3476</v>
      </c>
      <c r="E55" s="0" t="n">
        <v>9.3</v>
      </c>
      <c r="F55" s="45" t="n">
        <v>5</v>
      </c>
    </row>
    <row r="56" customFormat="false" ht="14.25" hidden="false" customHeight="false" outlineLevel="0" collapsed="false">
      <c r="B56" s="0" t="n">
        <v>50</v>
      </c>
      <c r="C56" s="45" t="n">
        <v>624000</v>
      </c>
      <c r="D56" s="45" t="n">
        <v>3617</v>
      </c>
      <c r="E56" s="0" t="n">
        <v>1.1</v>
      </c>
      <c r="F56" s="45" t="n">
        <v>6</v>
      </c>
    </row>
    <row r="57" customFormat="false" ht="14.25" hidden="false" customHeight="false" outlineLevel="0" collapsed="false">
      <c r="B57" s="0" t="n">
        <v>51</v>
      </c>
      <c r="C57" s="45" t="n">
        <v>569000</v>
      </c>
      <c r="D57" s="45" t="n">
        <v>3929</v>
      </c>
      <c r="E57" s="0" t="n">
        <v>3.9</v>
      </c>
      <c r="F57" s="45" t="n">
        <v>4</v>
      </c>
    </row>
    <row r="58" customFormat="false" ht="14.25" hidden="false" customHeight="false" outlineLevel="0" collapsed="false">
      <c r="B58" s="0" t="n">
        <v>52</v>
      </c>
      <c r="C58" s="45" t="n">
        <v>482000</v>
      </c>
      <c r="D58" s="45" t="n">
        <v>2013</v>
      </c>
      <c r="E58" s="0" t="n">
        <v>4.5</v>
      </c>
      <c r="F58" s="45" t="n">
        <v>8</v>
      </c>
    </row>
    <row r="59" customFormat="false" ht="14.25" hidden="false" customHeight="false" outlineLevel="0" collapsed="false">
      <c r="B59" s="0" t="n">
        <v>53</v>
      </c>
      <c r="C59" s="45" t="n">
        <v>501000</v>
      </c>
      <c r="D59" s="45" t="n">
        <v>2593</v>
      </c>
      <c r="E59" s="0" t="n">
        <v>6.5</v>
      </c>
      <c r="F59" s="45" t="n">
        <v>7</v>
      </c>
    </row>
    <row r="60" customFormat="false" ht="14.25" hidden="false" customHeight="false" outlineLevel="0" collapsed="false">
      <c r="B60" s="0" t="n">
        <v>54</v>
      </c>
      <c r="C60" s="45" t="n">
        <v>400000</v>
      </c>
      <c r="D60" s="45" t="n">
        <v>1085</v>
      </c>
      <c r="E60" s="0" t="n">
        <v>7.9</v>
      </c>
      <c r="F60" s="45" t="n">
        <v>9</v>
      </c>
    </row>
    <row r="61" customFormat="false" ht="14.25" hidden="false" customHeight="false" outlineLevel="0" collapsed="false">
      <c r="B61" s="0" t="n">
        <v>55</v>
      </c>
      <c r="C61" s="45" t="n">
        <v>606000</v>
      </c>
      <c r="D61" s="45" t="n">
        <v>3604</v>
      </c>
      <c r="E61" s="0" t="n">
        <v>4.6</v>
      </c>
      <c r="F61" s="45" t="n">
        <v>6</v>
      </c>
    </row>
    <row r="62" customFormat="false" ht="14.25" hidden="false" customHeight="false" outlineLevel="0" collapsed="false">
      <c r="B62" s="0" t="n">
        <v>56</v>
      </c>
      <c r="C62" s="45" t="n">
        <v>454000</v>
      </c>
      <c r="D62" s="45" t="n">
        <v>2984</v>
      </c>
      <c r="E62" s="0" t="n">
        <v>0.5</v>
      </c>
      <c r="F62" s="45" t="n">
        <v>3</v>
      </c>
    </row>
    <row r="63" customFormat="false" ht="14.25" hidden="false" customHeight="false" outlineLevel="0" collapsed="false">
      <c r="B63" s="0" t="n">
        <v>57</v>
      </c>
      <c r="C63" s="45" t="n">
        <v>411000</v>
      </c>
      <c r="D63" s="45" t="n">
        <v>2565</v>
      </c>
      <c r="E63" s="0" t="n">
        <v>9</v>
      </c>
      <c r="F63" s="45" t="n">
        <v>5</v>
      </c>
    </row>
    <row r="64" customFormat="false" ht="14.25" hidden="false" customHeight="false" outlineLevel="0" collapsed="false">
      <c r="B64" s="0" t="n">
        <v>58</v>
      </c>
      <c r="C64" s="45" t="n">
        <v>621000</v>
      </c>
      <c r="D64" s="45" t="n">
        <v>3496</v>
      </c>
      <c r="E64" s="0" t="n">
        <v>15</v>
      </c>
      <c r="F64" s="45" t="n">
        <v>10</v>
      </c>
    </row>
    <row r="65" customFormat="false" ht="14.25" hidden="false" customHeight="false" outlineLevel="0" collapsed="false">
      <c r="B65" s="0" t="n">
        <v>59</v>
      </c>
      <c r="C65" s="45" t="n">
        <v>427000</v>
      </c>
      <c r="D65" s="45" t="n">
        <v>1956</v>
      </c>
      <c r="E65" s="0" t="n">
        <v>8.3</v>
      </c>
      <c r="F65" s="45" t="n">
        <v>7</v>
      </c>
    </row>
    <row r="66" customFormat="false" ht="14.25" hidden="false" customHeight="false" outlineLevel="0" collapsed="false">
      <c r="B66" s="0" t="n">
        <v>60</v>
      </c>
      <c r="C66" s="45" t="n">
        <v>392000</v>
      </c>
      <c r="D66" s="45" t="n">
        <v>1596</v>
      </c>
      <c r="E66" s="0" t="n">
        <v>7.2</v>
      </c>
      <c r="F66" s="45" t="n">
        <v>7</v>
      </c>
    </row>
    <row r="67" customFormat="false" ht="14.25" hidden="false" customHeight="false" outlineLevel="0" collapsed="false">
      <c r="B67" s="0" t="n">
        <v>61</v>
      </c>
      <c r="C67" s="45" t="n">
        <v>370000</v>
      </c>
      <c r="D67" s="45" t="n">
        <v>1609</v>
      </c>
      <c r="E67" s="0" t="n">
        <v>3.5</v>
      </c>
      <c r="F67" s="45" t="n">
        <v>6</v>
      </c>
    </row>
    <row r="68" customFormat="false" ht="14.25" hidden="false" customHeight="false" outlineLevel="0" collapsed="false">
      <c r="B68" s="0" t="n">
        <v>62</v>
      </c>
      <c r="C68" s="45" t="n">
        <v>592000</v>
      </c>
      <c r="D68" s="45" t="n">
        <v>3532</v>
      </c>
      <c r="E68" s="0" t="n">
        <v>4</v>
      </c>
      <c r="F68" s="45" t="n">
        <v>6</v>
      </c>
    </row>
    <row r="69" customFormat="false" ht="14.25" hidden="false" customHeight="false" outlineLevel="0" collapsed="false">
      <c r="B69" s="0" t="n">
        <v>63</v>
      </c>
      <c r="C69" s="45" t="n">
        <v>304000</v>
      </c>
      <c r="D69" s="45" t="n">
        <v>1591</v>
      </c>
      <c r="E69" s="0" t="n">
        <v>0.5</v>
      </c>
      <c r="F69" s="45" t="n">
        <v>3</v>
      </c>
    </row>
    <row r="70" customFormat="false" ht="14.25" hidden="false" customHeight="false" outlineLevel="0" collapsed="false">
      <c r="B70" s="0" t="n">
        <v>64</v>
      </c>
      <c r="C70" s="45" t="n">
        <v>587000</v>
      </c>
      <c r="D70" s="45" t="n">
        <v>3491</v>
      </c>
      <c r="E70" s="0" t="n">
        <v>7.5</v>
      </c>
      <c r="F70" s="45" t="n">
        <v>7</v>
      </c>
    </row>
    <row r="71" customFormat="false" ht="14.25" hidden="false" customHeight="false" outlineLevel="0" collapsed="false">
      <c r="B71" s="0" t="n">
        <v>65</v>
      </c>
      <c r="C71" s="45" t="n">
        <v>480000</v>
      </c>
      <c r="D71" s="45" t="n">
        <v>2472</v>
      </c>
      <c r="E71" s="0" t="n">
        <v>4.5</v>
      </c>
      <c r="F71" s="45" t="n">
        <v>6</v>
      </c>
    </row>
    <row r="72" customFormat="false" ht="14.25" hidden="false" customHeight="false" outlineLevel="0" collapsed="false">
      <c r="B72" s="0" t="n">
        <v>66</v>
      </c>
      <c r="C72" s="45" t="n">
        <v>107000</v>
      </c>
      <c r="D72" s="45" t="n">
        <v>814</v>
      </c>
      <c r="E72" s="0" t="n">
        <v>10.2</v>
      </c>
      <c r="F72" s="45" t="n">
        <v>2</v>
      </c>
    </row>
    <row r="73" customFormat="false" ht="14.25" hidden="false" customHeight="false" outlineLevel="0" collapsed="false">
      <c r="B73" s="0" t="n">
        <v>67</v>
      </c>
      <c r="C73" s="45" t="n">
        <v>470000</v>
      </c>
      <c r="D73" s="45" t="n">
        <v>2978</v>
      </c>
      <c r="E73" s="0" t="n">
        <v>0.9</v>
      </c>
      <c r="F73" s="45" t="n">
        <v>4</v>
      </c>
    </row>
    <row r="74" customFormat="false" ht="14.25" hidden="false" customHeight="false" outlineLevel="0" collapsed="false">
      <c r="B74" s="0" t="n">
        <v>68</v>
      </c>
      <c r="C74" s="45" t="n">
        <v>422000</v>
      </c>
      <c r="D74" s="45" t="n">
        <v>2938</v>
      </c>
      <c r="E74" s="0" t="n">
        <v>10.5</v>
      </c>
      <c r="F74" s="45" t="n">
        <v>5</v>
      </c>
    </row>
    <row r="75" customFormat="false" ht="14.25" hidden="false" customHeight="false" outlineLevel="0" collapsed="false">
      <c r="B75" s="0" t="n">
        <v>69</v>
      </c>
      <c r="C75" s="45" t="n">
        <v>592000</v>
      </c>
      <c r="D75" s="45" t="n">
        <v>2893</v>
      </c>
      <c r="E75" s="0" t="n">
        <v>3.8</v>
      </c>
      <c r="F75" s="45" t="n">
        <v>8</v>
      </c>
    </row>
    <row r="76" customFormat="false" ht="14.25" hidden="false" customHeight="false" outlineLevel="0" collapsed="false">
      <c r="B76" s="0" t="n">
        <v>70</v>
      </c>
      <c r="C76" s="45" t="n">
        <v>475000</v>
      </c>
      <c r="D76" s="45" t="n">
        <v>1880</v>
      </c>
      <c r="E76" s="0" t="n">
        <v>2.6</v>
      </c>
      <c r="F76" s="45" t="n">
        <v>7</v>
      </c>
    </row>
    <row r="77" customFormat="false" ht="14.25" hidden="false" customHeight="false" outlineLevel="0" collapsed="false">
      <c r="B77" s="0" t="n">
        <v>71</v>
      </c>
      <c r="C77" s="45" t="n">
        <v>663000</v>
      </c>
      <c r="D77" s="45" t="n">
        <v>3095</v>
      </c>
      <c r="E77" s="0" t="n">
        <v>3.1</v>
      </c>
      <c r="F77" s="45" t="n">
        <v>9</v>
      </c>
    </row>
    <row r="78" customFormat="false" ht="14.25" hidden="false" customHeight="false" outlineLevel="0" collapsed="false">
      <c r="B78" s="0" t="n">
        <v>72</v>
      </c>
      <c r="C78" s="45" t="n">
        <v>204000</v>
      </c>
      <c r="D78" s="45" t="n">
        <v>1620</v>
      </c>
      <c r="E78" s="0" t="n">
        <v>2.6</v>
      </c>
      <c r="F78" s="45" t="n">
        <v>1</v>
      </c>
    </row>
    <row r="79" customFormat="false" ht="14.25" hidden="false" customHeight="false" outlineLevel="0" collapsed="false">
      <c r="B79" s="0" t="n">
        <v>73</v>
      </c>
      <c r="C79" s="45" t="n">
        <v>636000</v>
      </c>
      <c r="D79" s="45" t="n">
        <v>4102</v>
      </c>
      <c r="E79" s="0" t="n">
        <v>0.5</v>
      </c>
      <c r="F79" s="45" t="n">
        <v>5</v>
      </c>
    </row>
    <row r="80" customFormat="false" ht="14.25" hidden="false" customHeight="false" outlineLevel="0" collapsed="false">
      <c r="B80" s="0" t="n">
        <v>74</v>
      </c>
      <c r="C80" s="45" t="n">
        <v>322000</v>
      </c>
      <c r="D80" s="45" t="n">
        <v>3177</v>
      </c>
      <c r="E80" s="0" t="n">
        <v>7.6</v>
      </c>
      <c r="F80" s="45" t="n">
        <v>1</v>
      </c>
    </row>
    <row r="81" customFormat="false" ht="14.25" hidden="false" customHeight="false" outlineLevel="0" collapsed="false">
      <c r="B81" s="0" t="n">
        <v>75</v>
      </c>
      <c r="C81" s="45" t="n">
        <v>411000</v>
      </c>
      <c r="D81" s="45" t="n">
        <v>2507</v>
      </c>
      <c r="E81" s="0" t="n">
        <v>8.1</v>
      </c>
      <c r="F81" s="45" t="n">
        <v>5</v>
      </c>
    </row>
    <row r="82" customFormat="false" ht="14.25" hidden="false" customHeight="false" outlineLevel="0" collapsed="false">
      <c r="B82" s="0" t="n">
        <v>76</v>
      </c>
      <c r="C82" s="45" t="n">
        <v>650000</v>
      </c>
      <c r="D82" s="45" t="n">
        <v>3082</v>
      </c>
      <c r="E82" s="0" t="n">
        <v>10.1</v>
      </c>
      <c r="F82" s="45" t="n">
        <v>10</v>
      </c>
    </row>
    <row r="83" customFormat="false" ht="14.25" hidden="false" customHeight="false" outlineLevel="0" collapsed="false">
      <c r="B83" s="0" t="n">
        <v>77</v>
      </c>
      <c r="C83" s="45" t="n">
        <v>306000</v>
      </c>
      <c r="D83" s="45" t="n">
        <v>2009</v>
      </c>
      <c r="E83" s="0" t="n">
        <v>7.8</v>
      </c>
      <c r="F83" s="45" t="n">
        <v>4</v>
      </c>
    </row>
    <row r="84" customFormat="false" ht="14.25" hidden="false" customHeight="false" outlineLevel="0" collapsed="false">
      <c r="B84" s="0" t="n">
        <v>78</v>
      </c>
      <c r="C84" s="45" t="n">
        <v>657000</v>
      </c>
      <c r="D84" s="45" t="n">
        <v>4050</v>
      </c>
      <c r="E84" s="0" t="n">
        <v>7.6</v>
      </c>
      <c r="F84" s="45" t="n">
        <v>7</v>
      </c>
    </row>
    <row r="85" customFormat="false" ht="14.25" hidden="false" customHeight="false" outlineLevel="0" collapsed="false">
      <c r="B85" s="0" t="n">
        <v>79</v>
      </c>
      <c r="C85" s="45" t="n">
        <v>568000</v>
      </c>
      <c r="D85" s="45" t="n">
        <v>4032</v>
      </c>
      <c r="E85" s="0" t="n">
        <v>0.5</v>
      </c>
      <c r="F85" s="45" t="n">
        <v>3</v>
      </c>
    </row>
    <row r="86" customFormat="false" ht="14.25" hidden="false" customHeight="false" outlineLevel="0" collapsed="false">
      <c r="B86" s="0" t="n">
        <v>80</v>
      </c>
      <c r="C86" s="45" t="n">
        <v>474000</v>
      </c>
      <c r="D86" s="45" t="n">
        <v>2687</v>
      </c>
      <c r="E86" s="0" t="n">
        <v>5.7</v>
      </c>
      <c r="F86" s="45" t="n">
        <v>6</v>
      </c>
    </row>
    <row r="87" customFormat="false" ht="14.25" hidden="false" customHeight="false" outlineLevel="0" collapsed="false">
      <c r="B87" s="0" t="n">
        <v>81</v>
      </c>
      <c r="C87" s="45" t="n">
        <v>467000</v>
      </c>
      <c r="D87" s="45" t="n">
        <v>1335</v>
      </c>
      <c r="E87" s="0" t="n">
        <v>0.5</v>
      </c>
      <c r="F87" s="45" t="n">
        <v>8</v>
      </c>
    </row>
    <row r="88" customFormat="false" ht="14.25" hidden="false" customHeight="false" outlineLevel="0" collapsed="false">
      <c r="B88" s="0" t="n">
        <v>82</v>
      </c>
      <c r="C88" s="45" t="n">
        <v>585000</v>
      </c>
      <c r="D88" s="45" t="n">
        <v>2512</v>
      </c>
      <c r="E88" s="0" t="n">
        <v>3.9</v>
      </c>
      <c r="F88" s="45" t="n">
        <v>9</v>
      </c>
    </row>
    <row r="89" customFormat="false" ht="14.25" hidden="false" customHeight="false" outlineLevel="0" collapsed="false">
      <c r="B89" s="0" t="n">
        <v>83</v>
      </c>
      <c r="C89" s="45" t="n">
        <v>351000</v>
      </c>
      <c r="D89" s="45" t="n">
        <v>2273</v>
      </c>
      <c r="E89" s="0" t="n">
        <v>10.6</v>
      </c>
      <c r="F89" s="45" t="n">
        <v>5</v>
      </c>
    </row>
    <row r="90" customFormat="false" ht="14.25" hidden="false" customHeight="false" outlineLevel="0" collapsed="false">
      <c r="B90" s="0" t="n">
        <v>84</v>
      </c>
      <c r="C90" s="45" t="n">
        <v>499000</v>
      </c>
      <c r="D90" s="45" t="n">
        <v>1920</v>
      </c>
      <c r="E90" s="0" t="n">
        <v>5.1</v>
      </c>
      <c r="F90" s="45" t="n">
        <v>8</v>
      </c>
    </row>
    <row r="91" customFormat="false" ht="14.25" hidden="false" customHeight="false" outlineLevel="0" collapsed="false">
      <c r="B91" s="0" t="n">
        <v>85</v>
      </c>
      <c r="C91" s="45" t="n">
        <v>669000</v>
      </c>
      <c r="D91" s="45" t="n">
        <v>3666</v>
      </c>
      <c r="E91" s="0" t="n">
        <v>0.5</v>
      </c>
      <c r="F91" s="45" t="n">
        <v>7</v>
      </c>
    </row>
    <row r="92" customFormat="false" ht="14.25" hidden="false" customHeight="false" outlineLevel="0" collapsed="false">
      <c r="B92" s="0" t="n">
        <v>86</v>
      </c>
      <c r="C92" s="45" t="n">
        <v>783000</v>
      </c>
      <c r="D92" s="45" t="n">
        <v>4186</v>
      </c>
      <c r="E92" s="0" t="n">
        <v>1</v>
      </c>
      <c r="F92" s="45" t="n">
        <v>8</v>
      </c>
    </row>
    <row r="93" customFormat="false" ht="14.25" hidden="false" customHeight="false" outlineLevel="0" collapsed="false">
      <c r="B93" s="0" t="n">
        <v>87</v>
      </c>
      <c r="C93" s="45" t="n">
        <v>651000</v>
      </c>
      <c r="D93" s="45" t="n">
        <v>3363</v>
      </c>
      <c r="E93" s="0" t="n">
        <v>2.7</v>
      </c>
      <c r="F93" s="45" t="n">
        <v>8</v>
      </c>
    </row>
    <row r="94" customFormat="false" ht="14.25" hidden="false" customHeight="false" outlineLevel="0" collapsed="false">
      <c r="B94" s="0" t="n">
        <v>88</v>
      </c>
      <c r="C94" s="45" t="n">
        <v>435000</v>
      </c>
      <c r="D94" s="45" t="n">
        <v>1106</v>
      </c>
      <c r="E94" s="0" t="n">
        <v>4.1</v>
      </c>
      <c r="F94" s="45" t="n">
        <v>9</v>
      </c>
    </row>
    <row r="95" customFormat="false" ht="14.25" hidden="false" customHeight="false" outlineLevel="0" collapsed="false">
      <c r="B95" s="0" t="n">
        <v>89</v>
      </c>
      <c r="C95" s="45" t="n">
        <v>546000</v>
      </c>
      <c r="D95" s="45" t="n">
        <v>2683</v>
      </c>
      <c r="E95" s="0" t="n">
        <v>8.8</v>
      </c>
      <c r="F95" s="45" t="n">
        <v>9</v>
      </c>
    </row>
    <row r="96" customFormat="false" ht="14.25" hidden="false" customHeight="false" outlineLevel="0" collapsed="false">
      <c r="B96" s="0" t="n">
        <v>90</v>
      </c>
      <c r="C96" s="45" t="n">
        <v>320000</v>
      </c>
      <c r="D96" s="45" t="n">
        <v>1270</v>
      </c>
      <c r="E96" s="0" t="n">
        <v>8.3</v>
      </c>
      <c r="F96" s="45" t="n">
        <v>6</v>
      </c>
    </row>
    <row r="97" customFormat="false" ht="14.25" hidden="false" customHeight="false" outlineLevel="0" collapsed="false">
      <c r="B97" s="0" t="n">
        <v>91</v>
      </c>
      <c r="C97" s="45" t="n">
        <v>270000</v>
      </c>
      <c r="D97" s="45" t="n">
        <v>1095</v>
      </c>
      <c r="E97" s="0" t="n">
        <v>8.2</v>
      </c>
      <c r="F97" s="45" t="n">
        <v>6</v>
      </c>
    </row>
    <row r="98" customFormat="false" ht="14.25" hidden="false" customHeight="false" outlineLevel="0" collapsed="false">
      <c r="B98" s="0" t="n">
        <v>92</v>
      </c>
      <c r="C98" s="45" t="n">
        <v>639000</v>
      </c>
      <c r="D98" s="45" t="n">
        <v>3133</v>
      </c>
      <c r="E98" s="0" t="n">
        <v>5.9</v>
      </c>
      <c r="F98" s="45" t="n">
        <v>9</v>
      </c>
    </row>
    <row r="99" customFormat="false" ht="14.25" hidden="false" customHeight="false" outlineLevel="0" collapsed="false">
      <c r="B99" s="0" t="n">
        <v>93</v>
      </c>
      <c r="C99" s="45" t="n">
        <v>416000</v>
      </c>
      <c r="D99" s="45" t="n">
        <v>3394</v>
      </c>
      <c r="E99" s="0" t="n">
        <v>3.8</v>
      </c>
      <c r="F99" s="45" t="n">
        <v>1</v>
      </c>
    </row>
    <row r="100" customFormat="false" ht="14.25" hidden="false" customHeight="false" outlineLevel="0" collapsed="false">
      <c r="B100" s="0" t="n">
        <v>94</v>
      </c>
      <c r="C100" s="45" t="n">
        <v>476000</v>
      </c>
      <c r="D100" s="45" t="n">
        <v>2106</v>
      </c>
      <c r="E100" s="0" t="n">
        <v>3.6</v>
      </c>
      <c r="F100" s="45" t="n">
        <v>7</v>
      </c>
    </row>
    <row r="101" customFormat="false" ht="14.25" hidden="false" customHeight="false" outlineLevel="0" collapsed="false">
      <c r="B101" s="0" t="n">
        <v>95</v>
      </c>
      <c r="C101" s="45" t="n">
        <v>255000</v>
      </c>
      <c r="D101" s="45" t="n">
        <v>1479</v>
      </c>
      <c r="E101" s="0" t="n">
        <v>6.7</v>
      </c>
      <c r="F101" s="45" t="n">
        <v>3</v>
      </c>
    </row>
    <row r="102" customFormat="false" ht="14.25" hidden="false" customHeight="false" outlineLevel="0" collapsed="false">
      <c r="B102" s="0" t="n">
        <v>96</v>
      </c>
      <c r="C102" s="45" t="n">
        <v>293000</v>
      </c>
      <c r="D102" s="45" t="n">
        <v>994</v>
      </c>
      <c r="E102" s="0" t="n">
        <v>8.7</v>
      </c>
      <c r="F102" s="45" t="n">
        <v>7</v>
      </c>
    </row>
    <row r="103" customFormat="false" ht="14.25" hidden="false" customHeight="false" outlineLevel="0" collapsed="false">
      <c r="B103" s="0" t="n">
        <v>97</v>
      </c>
      <c r="C103" s="45" t="n">
        <v>264000</v>
      </c>
      <c r="D103" s="45" t="n">
        <v>995</v>
      </c>
      <c r="E103" s="0" t="n">
        <v>11.2</v>
      </c>
      <c r="F103" s="45" t="n">
        <v>6</v>
      </c>
    </row>
    <row r="104" customFormat="false" ht="14.25" hidden="false" customHeight="false" outlineLevel="0" collapsed="false">
      <c r="B104" s="0" t="n">
        <v>98</v>
      </c>
      <c r="C104" s="45" t="n">
        <v>495000</v>
      </c>
      <c r="D104" s="45" t="n">
        <v>1741</v>
      </c>
      <c r="E104" s="0" t="n">
        <v>5.4</v>
      </c>
      <c r="F104" s="45" t="n">
        <v>9</v>
      </c>
    </row>
    <row r="105" customFormat="false" ht="14.25" hidden="false" customHeight="false" outlineLevel="0" collapsed="false">
      <c r="B105" s="0" t="n">
        <v>99</v>
      </c>
      <c r="C105" s="45" t="n">
        <v>404000</v>
      </c>
      <c r="D105" s="45" t="n">
        <v>1449</v>
      </c>
      <c r="E105" s="0" t="n">
        <v>6.2</v>
      </c>
      <c r="F105" s="45" t="n">
        <v>8</v>
      </c>
    </row>
    <row r="106" customFormat="false" ht="14.25" hidden="false" customHeight="false" outlineLevel="0" collapsed="false">
      <c r="B106" s="0" t="n">
        <v>100</v>
      </c>
      <c r="C106" s="45" t="n">
        <v>571000</v>
      </c>
      <c r="D106" s="45" t="n">
        <v>3648</v>
      </c>
      <c r="E106" s="0" t="n">
        <v>10.9</v>
      </c>
      <c r="F106" s="45" t="n">
        <v>7</v>
      </c>
    </row>
  </sheetData>
  <mergeCells count="1">
    <mergeCell ref="K26:L26"/>
  </mergeCells>
  <dataValidations count="2">
    <dataValidation allowBlank="true" errorStyle="stop" operator="between" showDropDown="false" showErrorMessage="true" showInputMessage="true" sqref="I13" type="list">
      <formula1>$D$6:$F$6</formula1>
      <formula2>0</formula2>
    </dataValidation>
    <dataValidation allowBlank="true" errorStyle="stop" operator="between" showDropDown="false" showErrorMessage="true" showInputMessage="true" sqref="I38" type="list">
      <formula1>"Nominal,Ordinal,Interval,Ratio"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7"/>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B11" activeCellId="0" sqref="B11"/>
    </sheetView>
  </sheetViews>
  <sheetFormatPr defaultColWidth="8.5390625" defaultRowHeight="14.25" zeroHeight="false" outlineLevelRow="0" outlineLevelCol="0"/>
  <cols>
    <col collapsed="false" customWidth="true" hidden="false" outlineLevel="0" max="2" min="2" style="0" width="97.73"/>
  </cols>
  <sheetData>
    <row r="2" customFormat="false" ht="256.7" hidden="false" customHeight="false" outlineLevel="0" collapsed="false">
      <c r="B2" s="27" t="s">
        <v>108</v>
      </c>
    </row>
    <row r="4" customFormat="false" ht="79.5" hidden="false" customHeight="true" outlineLevel="0" collapsed="false">
      <c r="B4" s="19"/>
    </row>
    <row r="6" customFormat="false" ht="14.25" hidden="false" customHeight="false" outlineLevel="0" collapsed="false">
      <c r="B6" s="2" t="s">
        <v>109</v>
      </c>
    </row>
    <row r="7" customFormat="false" ht="14.25" hidden="false" customHeight="false" outlineLevel="0" collapsed="false">
      <c r="B7" s="58" t="s">
        <v>110</v>
      </c>
    </row>
  </sheetData>
  <hyperlinks>
    <hyperlink ref="B7" r:id="rId1" display="https://acc.indiafoxtrotcharlie.com/2305/tes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2026-05-15T01:30:07Z</dcterms:created>
  <dc:creator>Russell Holloway</dc:creator>
  <dc:description/>
  <dc:language>en-US</dc:language>
  <cp:lastModifiedBy>Russell Holloway</cp:lastModifiedBy>
  <dcterms:modified xsi:type="dcterms:W3CDTF">2026-05-15T19:22:35Z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